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64415\Desktop\"/>
    </mc:Choice>
  </mc:AlternateContent>
  <xr:revisionPtr revIDLastSave="0" documentId="8_{93D76097-3A68-48E0-9655-C81E14ADCC0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波次一（常温北京）" sheetId="1" r:id="rId1"/>
    <sheet name="波次二（低温北京）" sheetId="2" r:id="rId2"/>
    <sheet name="波次三" sheetId="3" r:id="rId3"/>
    <sheet name="波次四" sheetId="4" r:id="rId4"/>
  </sheets>
  <definedNames>
    <definedName name="_xlnm._FilterDatabase" localSheetId="1" hidden="1">'波次二（低温北京）'!$A$1:$D$113</definedName>
    <definedName name="_xlnm._FilterDatabase" localSheetId="2" hidden="1">波次三!$A$1:$D$77</definedName>
    <definedName name="_xlnm._FilterDatabase" localSheetId="0" hidden="1">'波次一（常温北京）'!$A$1:$E$83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2" i="1"/>
</calcChain>
</file>

<file path=xl/sharedStrings.xml><?xml version="1.0" encoding="utf-8"?>
<sst xmlns="http://schemas.openxmlformats.org/spreadsheetml/2006/main" count="577" uniqueCount="401">
  <si>
    <t>原线路号</t>
  </si>
  <si>
    <t>店铺代码</t>
  </si>
  <si>
    <t>店名</t>
  </si>
  <si>
    <t>预计到店时间</t>
  </si>
  <si>
    <t>394512</t>
  </si>
  <si>
    <t>超市发罗森北清路二店</t>
  </si>
  <si>
    <t>394234</t>
  </si>
  <si>
    <t>超市发罗森北清路店</t>
  </si>
  <si>
    <t>394560</t>
  </si>
  <si>
    <t>超市发罗森北安河二店</t>
  </si>
  <si>
    <t>394258</t>
  </si>
  <si>
    <t>超市发罗森北安河店</t>
  </si>
  <si>
    <t>394070</t>
  </si>
  <si>
    <t>木荷路华为园区</t>
  </si>
  <si>
    <t>394488</t>
  </si>
  <si>
    <t>超市发罗森太舟坞店</t>
  </si>
  <si>
    <t>394526</t>
  </si>
  <si>
    <t>华为北研所K区店</t>
  </si>
  <si>
    <t>393426</t>
  </si>
  <si>
    <t>北京地铁望京西站店</t>
  </si>
  <si>
    <t>398170</t>
  </si>
  <si>
    <t>昌平未来科学城未来中心店</t>
  </si>
  <si>
    <t>398090</t>
  </si>
  <si>
    <t>超市发天通苑西区</t>
  </si>
  <si>
    <t>392719</t>
  </si>
  <si>
    <t>金隅智造工场店新店</t>
  </si>
  <si>
    <t>394510</t>
  </si>
  <si>
    <t>东升科技园店</t>
  </si>
  <si>
    <t>394485</t>
  </si>
  <si>
    <t>永泰生活服务中心店</t>
  </si>
  <si>
    <t>399722</t>
  </si>
  <si>
    <t>北京祥云小镇店</t>
  </si>
  <si>
    <t>393720</t>
  </si>
  <si>
    <t>昌平新新公寓店</t>
  </si>
  <si>
    <t>398439</t>
  </si>
  <si>
    <t>北京地铁昌平站店</t>
  </si>
  <si>
    <t>394096</t>
  </si>
  <si>
    <t>超市发农大</t>
  </si>
  <si>
    <t>394038</t>
  </si>
  <si>
    <t>联想新园区</t>
  </si>
  <si>
    <t>394150</t>
  </si>
  <si>
    <t>网易研发中心</t>
  </si>
  <si>
    <t>394110</t>
  </si>
  <si>
    <t>新浪总部大厦</t>
  </si>
  <si>
    <t>392718</t>
  </si>
  <si>
    <t>腾讯北京总部店</t>
  </si>
  <si>
    <t>394123</t>
  </si>
  <si>
    <t>联想北研园楼大厦</t>
  </si>
  <si>
    <t>394489</t>
  </si>
  <si>
    <t>超市发罗森六里屯店</t>
  </si>
  <si>
    <t>398689</t>
  </si>
  <si>
    <t>回龙观体育公园店</t>
  </si>
  <si>
    <t>393425</t>
  </si>
  <si>
    <t>北京地铁西土城店</t>
  </si>
  <si>
    <t>394620</t>
  </si>
  <si>
    <t>北京快手元中心店</t>
  </si>
  <si>
    <t>394069</t>
  </si>
  <si>
    <t>互联网创新中心</t>
  </si>
  <si>
    <t>394437</t>
  </si>
  <si>
    <t>超市发罗森清河店</t>
  </si>
  <si>
    <t>394089</t>
  </si>
  <si>
    <t>超市发上地</t>
  </si>
  <si>
    <t>393016</t>
  </si>
  <si>
    <t>奥林匹克公园</t>
  </si>
  <si>
    <t>394122</t>
  </si>
  <si>
    <t>联想三标大厦</t>
  </si>
  <si>
    <t>393168</t>
  </si>
  <si>
    <t>奥林匹克森林公园（北园）店</t>
  </si>
  <si>
    <t>393167</t>
  </si>
  <si>
    <t>奥林匹克森林公园（南园）店</t>
  </si>
  <si>
    <t>394405</t>
  </si>
  <si>
    <t>北京地铁育新站店</t>
  </si>
  <si>
    <t>394048</t>
  </si>
  <si>
    <t>海淀杏石口路</t>
  </si>
  <si>
    <t>394630</t>
  </si>
  <si>
    <t>超市发罗森四季青路店</t>
  </si>
  <si>
    <t>394104</t>
  </si>
  <si>
    <t>超市发玉泉路</t>
  </si>
  <si>
    <t>399569</t>
  </si>
  <si>
    <t>西长安中骏世界城店</t>
  </si>
  <si>
    <t>399548</t>
  </si>
  <si>
    <t>北京中海大厦店</t>
  </si>
  <si>
    <t>391715</t>
  </si>
  <si>
    <t>石景山金隅科技大厦店</t>
  </si>
  <si>
    <t>399670</t>
  </si>
  <si>
    <t>北京门头沟长安天街店</t>
  </si>
  <si>
    <t>394419</t>
  </si>
  <si>
    <t>北京地铁车道沟站店</t>
  </si>
  <si>
    <t>109</t>
  </si>
  <si>
    <t>393067</t>
  </si>
  <si>
    <t>望京北望金辉大厦</t>
  </si>
  <si>
    <t>393303</t>
  </si>
  <si>
    <t>利星行中心二店</t>
  </si>
  <si>
    <t>393206</t>
  </si>
  <si>
    <t>东亚望京中心店</t>
  </si>
  <si>
    <t>393557</t>
  </si>
  <si>
    <t>北京鸿懋商务大厦店</t>
  </si>
  <si>
    <t>394112</t>
  </si>
  <si>
    <t>超市发海淀大街</t>
  </si>
  <si>
    <t>394062</t>
  </si>
  <si>
    <t>火器营地铁站</t>
  </si>
  <si>
    <t>394196</t>
  </si>
  <si>
    <t>超市发岭南路店</t>
  </si>
  <si>
    <t>392315</t>
  </si>
  <si>
    <t>地铁和平里北街站店</t>
  </si>
  <si>
    <t>110</t>
  </si>
  <si>
    <t>392678</t>
  </si>
  <si>
    <t>北京地铁雍和宫站店</t>
  </si>
  <si>
    <t>391001</t>
  </si>
  <si>
    <t>月坛北街</t>
  </si>
  <si>
    <t>394085</t>
  </si>
  <si>
    <t>超市发甘家口</t>
  </si>
  <si>
    <t>394073</t>
  </si>
  <si>
    <t>超市发花园路</t>
  </si>
  <si>
    <t>394118</t>
  </si>
  <si>
    <t>超市发学院路超罗</t>
  </si>
  <si>
    <t>392712</t>
  </si>
  <si>
    <t>北京恒毅大厦店</t>
  </si>
  <si>
    <t>392525</t>
  </si>
  <si>
    <t>北京环球贸易中心店</t>
  </si>
  <si>
    <t>391709</t>
  </si>
  <si>
    <t>北京大钟寺广场店</t>
  </si>
  <si>
    <t>111</t>
  </si>
  <si>
    <t>391012</t>
  </si>
  <si>
    <t>金融街</t>
  </si>
  <si>
    <t>391028</t>
  </si>
  <si>
    <t>金融街中心</t>
  </si>
  <si>
    <t>398718</t>
  </si>
  <si>
    <t>北京北站店</t>
  </si>
  <si>
    <t>391074</t>
  </si>
  <si>
    <t>德胜国际中心</t>
  </si>
  <si>
    <t>394075</t>
  </si>
  <si>
    <t>超市发羊坊店</t>
  </si>
  <si>
    <t>394105</t>
  </si>
  <si>
    <t>超市发西长安街</t>
  </si>
  <si>
    <t>391409</t>
  </si>
  <si>
    <t>北京地铁鼓楼大街站店</t>
  </si>
  <si>
    <t>394024</t>
  </si>
  <si>
    <t>融科资讯中心</t>
  </si>
  <si>
    <t>394103</t>
  </si>
  <si>
    <t>超市发科南路</t>
  </si>
  <si>
    <t>394142</t>
  </si>
  <si>
    <t>超市发双榆树超罗</t>
  </si>
  <si>
    <t>394072</t>
  </si>
  <si>
    <t>超市发万柳</t>
  </si>
  <si>
    <t>394451</t>
  </si>
  <si>
    <t>清华科技园店</t>
  </si>
  <si>
    <t>393707</t>
  </si>
  <si>
    <t>北京科技财富中心店</t>
  </si>
  <si>
    <t>391722</t>
  </si>
  <si>
    <t>鼎好电子大厦</t>
  </si>
  <si>
    <t>393711</t>
  </si>
  <si>
    <t>微软中国研发集团总部店</t>
  </si>
  <si>
    <t>393416</t>
  </si>
  <si>
    <t>北京地铁六道口店</t>
  </si>
  <si>
    <t>393651</t>
  </si>
  <si>
    <t>北京平安国际金融中心店</t>
  </si>
  <si>
    <t>393010</t>
  </si>
  <si>
    <t>双井首城国际</t>
  </si>
  <si>
    <t>393034</t>
  </si>
  <si>
    <t>劲松海文大厦</t>
  </si>
  <si>
    <t>395274</t>
  </si>
  <si>
    <t>蒲黄榆地铁站店</t>
  </si>
  <si>
    <t>391030</t>
  </si>
  <si>
    <t>庄胜崇光</t>
  </si>
  <si>
    <t>392144</t>
  </si>
  <si>
    <t>前门大街</t>
  </si>
  <si>
    <t>392394</t>
  </si>
  <si>
    <t>北京地铁崇文门站店</t>
  </si>
  <si>
    <t>391094</t>
  </si>
  <si>
    <t>紫金印象</t>
  </si>
  <si>
    <t>393082</t>
  </si>
  <si>
    <t>兆泰国际中心</t>
  </si>
  <si>
    <t>392029</t>
  </si>
  <si>
    <t>富华大厦</t>
  </si>
  <si>
    <t>393032</t>
  </si>
  <si>
    <t>长富宫</t>
  </si>
  <si>
    <t>393688</t>
  </si>
  <si>
    <t>北京广播大厦酒店店</t>
  </si>
  <si>
    <t>392179</t>
  </si>
  <si>
    <t>东四北大街店</t>
  </si>
  <si>
    <t>392084</t>
  </si>
  <si>
    <t>南锣鼓巷地铁站</t>
  </si>
  <si>
    <t>392647</t>
  </si>
  <si>
    <t>北京泓晟国际中心</t>
  </si>
  <si>
    <t>392395</t>
  </si>
  <si>
    <t>北京地铁东四站店</t>
  </si>
  <si>
    <t>393244</t>
  </si>
  <si>
    <t>利星行中心店</t>
  </si>
  <si>
    <t>393675</t>
  </si>
  <si>
    <t>北京阿里巴巴总部店</t>
  </si>
  <si>
    <t>393546</t>
  </si>
  <si>
    <t>北京浦项中心店</t>
  </si>
  <si>
    <t>393009</t>
  </si>
  <si>
    <t>民生大厦</t>
  </si>
  <si>
    <t>393380</t>
  </si>
  <si>
    <t>光明大厦店</t>
  </si>
  <si>
    <t>393188</t>
  </si>
  <si>
    <t>发展大厦店</t>
  </si>
  <si>
    <t>394406</t>
  </si>
  <si>
    <t>北京地铁平安里站店</t>
  </si>
  <si>
    <t>393003</t>
  </si>
  <si>
    <t>环球金融中心</t>
  </si>
  <si>
    <t>393220</t>
  </si>
  <si>
    <t>梵石中心店</t>
  </si>
  <si>
    <t>393117</t>
  </si>
  <si>
    <t>十里堡地铁站</t>
  </si>
  <si>
    <t>392723</t>
  </si>
  <si>
    <t>北京四惠金地名京店</t>
  </si>
  <si>
    <t>393035</t>
  </si>
  <si>
    <t>管庄新天地</t>
  </si>
  <si>
    <t>392722</t>
  </si>
  <si>
    <t>北京长楹天街店</t>
  </si>
  <si>
    <t>397682</t>
  </si>
  <si>
    <t>北京通州新光大</t>
  </si>
  <si>
    <t>391712</t>
  </si>
  <si>
    <t>北京金融科技学院店</t>
  </si>
  <si>
    <t>393151</t>
  </si>
  <si>
    <t>首都机场T3二层到达区外</t>
  </si>
  <si>
    <t>393152</t>
  </si>
  <si>
    <t>首都机场T3三层出发区东指廊</t>
  </si>
  <si>
    <t>393153</t>
  </si>
  <si>
    <t>首都机场T3三层出发区西指廊</t>
  </si>
  <si>
    <t>393155</t>
  </si>
  <si>
    <t>首都机场T3四层出发区外东</t>
  </si>
  <si>
    <t>393156</t>
  </si>
  <si>
    <t>首都机场T3D出发区</t>
  </si>
  <si>
    <t>393715</t>
  </si>
  <si>
    <t>首都国际机场T3四层出发层外西</t>
  </si>
  <si>
    <t>395710</t>
  </si>
  <si>
    <t>北京首都机场T3三层出发区北指廊店</t>
  </si>
  <si>
    <t>396276</t>
  </si>
  <si>
    <t>京东总部1号店</t>
  </si>
  <si>
    <t>393709</t>
  </si>
  <si>
    <t>京东总部2号院店</t>
  </si>
  <si>
    <t>395606</t>
  </si>
  <si>
    <t>福海公寓</t>
  </si>
  <si>
    <t>395470</t>
  </si>
  <si>
    <t>丰科中心店</t>
  </si>
  <si>
    <t>395017</t>
  </si>
  <si>
    <t>汉威国际广场</t>
  </si>
  <si>
    <t>393033</t>
  </si>
  <si>
    <t>四方桥东北侧店</t>
  </si>
  <si>
    <t>392715</t>
  </si>
  <si>
    <t>北京地铁欢乐谷站店</t>
  </si>
  <si>
    <t>393046</t>
  </si>
  <si>
    <t>小天竺路</t>
  </si>
  <si>
    <t>394705</t>
  </si>
  <si>
    <t>平谷步行街店</t>
  </si>
  <si>
    <t>409392</t>
  </si>
  <si>
    <t>天津市蓟州区天一绿海店</t>
  </si>
  <si>
    <t>467708</t>
  </si>
  <si>
    <t>三河文化艺术大街店</t>
  </si>
  <si>
    <t>396449</t>
  </si>
  <si>
    <t>大兴国际氢能示范区店</t>
  </si>
  <si>
    <t>396495</t>
  </si>
  <si>
    <t>大兴南航总部基地店</t>
  </si>
  <si>
    <t>396255</t>
  </si>
  <si>
    <t>东方航空公司总部店</t>
  </si>
  <si>
    <t>396141</t>
  </si>
  <si>
    <t>大兴星牌共享际</t>
  </si>
  <si>
    <t>396388</t>
  </si>
  <si>
    <t>北京鸿坤广场店</t>
  </si>
  <si>
    <t>391721</t>
  </si>
  <si>
    <t>北京丽泽平安金融中心店</t>
  </si>
  <si>
    <t>395302</t>
  </si>
  <si>
    <t>丽泽平安幸福中心店</t>
  </si>
  <si>
    <t>395092</t>
  </si>
  <si>
    <t>泥洼地铁站</t>
  </si>
  <si>
    <t>396058</t>
  </si>
  <si>
    <t>房山绿城百合</t>
  </si>
  <si>
    <t>396054</t>
  </si>
  <si>
    <t>良乡拱辰南大街</t>
  </si>
  <si>
    <t>396081</t>
  </si>
  <si>
    <t>房山燕化医院</t>
  </si>
  <si>
    <t>396053</t>
  </si>
  <si>
    <t>房山南大街</t>
  </si>
  <si>
    <t>466506</t>
  </si>
  <si>
    <t>廊坊燕郊诺亚大厦店</t>
  </si>
  <si>
    <t>466697</t>
  </si>
  <si>
    <t>廊坊燕郊33号街区店</t>
  </si>
  <si>
    <t>466455</t>
  </si>
  <si>
    <t>廊坊燕郊尚京广场店</t>
  </si>
  <si>
    <t>461717</t>
  </si>
  <si>
    <t>廊坊燕郊夏威夷蓝湾店</t>
  </si>
  <si>
    <t>466370</t>
  </si>
  <si>
    <t>廊坊香河新开街店</t>
  </si>
  <si>
    <t>466435</t>
  </si>
  <si>
    <t>廊坊香河新华街店</t>
  </si>
  <si>
    <t>466653</t>
  </si>
  <si>
    <t>廊坊燕郊燕京理工学院店</t>
  </si>
  <si>
    <t>397398</t>
  </si>
  <si>
    <t>北京地铁物资学院路站店</t>
  </si>
  <si>
    <t>393399</t>
  </si>
  <si>
    <t>北京地铁草房站店</t>
  </si>
  <si>
    <t>393710</t>
  </si>
  <si>
    <t>北京地铁潘家园站店</t>
  </si>
  <si>
    <t>392716</t>
  </si>
  <si>
    <t>北京地铁角门西站店</t>
  </si>
  <si>
    <t>395411</t>
  </si>
  <si>
    <t>北京地铁六里桥站店</t>
  </si>
  <si>
    <t>395413</t>
  </si>
  <si>
    <t>北京地铁丰台科技园区站店</t>
  </si>
  <si>
    <t>395412</t>
  </si>
  <si>
    <t>北京地铁郭公庄站店</t>
  </si>
  <si>
    <t>392717</t>
  </si>
  <si>
    <t>北京地铁丰台站店</t>
  </si>
  <si>
    <t>392710</t>
  </si>
  <si>
    <t>北京地铁3号线团结湖站店</t>
  </si>
  <si>
    <t>392408</t>
  </si>
  <si>
    <t>北京地铁安德里北街站店</t>
  </si>
  <si>
    <t>392713</t>
  </si>
  <si>
    <t>北京地铁什刹海站店</t>
  </si>
  <si>
    <t>391718</t>
  </si>
  <si>
    <t>北京地铁12号线驼房营站店</t>
  </si>
  <si>
    <t>392708</t>
  </si>
  <si>
    <t>北京地铁3号线东坝站店</t>
  </si>
  <si>
    <t>392707</t>
  </si>
  <si>
    <t>北京地铁3号线朝阳站店</t>
  </si>
  <si>
    <t>478610</t>
  </si>
  <si>
    <t>张家口职业技术学院店</t>
  </si>
  <si>
    <t>478648</t>
  </si>
  <si>
    <t>张家口乐享城店</t>
  </si>
  <si>
    <t>478480</t>
  </si>
  <si>
    <t>张家口容辰庄园店</t>
  </si>
  <si>
    <t>478481</t>
  </si>
  <si>
    <t>张家口明德南路店</t>
  </si>
  <si>
    <t>478581</t>
  </si>
  <si>
    <t>张家口古宏大街店</t>
  </si>
  <si>
    <t>478582</t>
  </si>
  <si>
    <t>张家口北方学院西校区店</t>
  </si>
  <si>
    <t>471708</t>
  </si>
  <si>
    <t>张家口崇礼汤印店-富龙子</t>
  </si>
  <si>
    <t>392721</t>
  </si>
  <si>
    <t>延庆环球新意百货店</t>
  </si>
  <si>
    <t>478573</t>
  </si>
  <si>
    <t>张家口宣化皇城店</t>
  </si>
  <si>
    <t>478567</t>
  </si>
  <si>
    <t>张家口宣化兴泰店</t>
  </si>
  <si>
    <t>478571</t>
  </si>
  <si>
    <t>张家口宣化鼓楼店</t>
  </si>
  <si>
    <t>478566</t>
  </si>
  <si>
    <t>张家口宣化八中店</t>
  </si>
  <si>
    <t>478572</t>
  </si>
  <si>
    <t>张家口宣化光大店</t>
  </si>
  <si>
    <t>478583</t>
  </si>
  <si>
    <t>张家口怀来新城佳苑店</t>
  </si>
  <si>
    <t>478584</t>
  </si>
  <si>
    <t>张家口怀来新东方店</t>
  </si>
  <si>
    <t>391705</t>
  </si>
  <si>
    <t>北京怀柔城市客厅店</t>
  </si>
  <si>
    <t>398558</t>
  </si>
  <si>
    <t>北京怀柔雁栖人才社区店</t>
  </si>
  <si>
    <t>393708</t>
  </si>
  <si>
    <t>北京怀柔商业街店</t>
  </si>
  <si>
    <t>469660</t>
  </si>
  <si>
    <t>承德银星丽苑店</t>
  </si>
  <si>
    <t>469476</t>
  </si>
  <si>
    <t>承德市小佟沟路店</t>
  </si>
  <si>
    <t>469475</t>
  </si>
  <si>
    <t>承德市二仙居大街店</t>
  </si>
  <si>
    <t>462710</t>
  </si>
  <si>
    <t>承德市德汇大厦店</t>
  </si>
  <si>
    <t>469559</t>
  </si>
  <si>
    <t>承德市锦绣大街店</t>
  </si>
  <si>
    <t>469588</t>
  </si>
  <si>
    <t>承德铂悦山店</t>
  </si>
  <si>
    <t>462717</t>
  </si>
  <si>
    <t>承德宽广时代广场店</t>
  </si>
  <si>
    <t>469585</t>
  </si>
  <si>
    <t>承德御龙瀚府店</t>
  </si>
  <si>
    <t>469517</t>
  </si>
  <si>
    <t>承德市福地华园店</t>
  </si>
  <si>
    <t>469691</t>
  </si>
  <si>
    <t>承德市嘉和广场店</t>
  </si>
  <si>
    <t>399519</t>
  </si>
  <si>
    <t>古北水镇一号店</t>
  </si>
  <si>
    <t>399520</t>
  </si>
  <si>
    <t>古北水镇二号店</t>
  </si>
  <si>
    <t>469659</t>
  </si>
  <si>
    <t>承德兴盛丽水店</t>
  </si>
  <si>
    <t>393706</t>
  </si>
  <si>
    <t>古北水镇三号店</t>
  </si>
  <si>
    <t>555</t>
  </si>
  <si>
    <t>395708</t>
  </si>
  <si>
    <t>北京站6号候车室店</t>
  </si>
  <si>
    <t>398708</t>
  </si>
  <si>
    <t>北京站4号候车室店</t>
  </si>
  <si>
    <t>394720</t>
  </si>
  <si>
    <t>北京站广场东侧店</t>
  </si>
  <si>
    <t>666</t>
  </si>
  <si>
    <t>392720</t>
  </si>
  <si>
    <t>朝阳高铁站店</t>
  </si>
  <si>
    <t>777</t>
  </si>
  <si>
    <t>393718</t>
  </si>
  <si>
    <t>北京南站出发层1店</t>
  </si>
  <si>
    <t>396706</t>
  </si>
  <si>
    <t>北京南站出发层2店</t>
  </si>
  <si>
    <t>393717</t>
  </si>
  <si>
    <t>北京南站地铁层1店</t>
  </si>
  <si>
    <t>冷藏时间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</si>
</sst>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h:mm;@"/>
    <numFmt numFmtId="179" formatCode="[$-F400]h:mm:ss\ AM/PM"/>
  </numFmts>
  <fonts count="17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9"/>
      <name val="宋体"/>
      <charset val="134"/>
    </font>
    <font>
      <sz val="10"/>
      <name val="宋体"/>
      <charset val="134"/>
      <scheme val="minor"/>
    </font>
    <font>
      <b/>
      <sz val="10"/>
      <color theme="1"/>
      <name val="宋体"/>
      <charset val="134"/>
    </font>
    <font>
      <sz val="11"/>
      <name val="宋体"/>
      <charset val="134"/>
      <scheme val="minor"/>
    </font>
    <font>
      <b/>
      <sz val="9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/>
    </xf>
    <xf numFmtId="20" fontId="8" fillId="0" borderId="1" xfId="0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8" fillId="0" borderId="0" xfId="0" applyFont="1">
      <alignment vertical="center"/>
    </xf>
    <xf numFmtId="49" fontId="7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1" applyFont="1" applyBorder="1">
      <alignment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0" borderId="0" xfId="0" applyFont="1">
      <alignment vertical="center"/>
    </xf>
    <xf numFmtId="49" fontId="7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left" vertical="center"/>
    </xf>
    <xf numFmtId="20" fontId="0" fillId="0" borderId="1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178" fontId="13" fillId="0" borderId="1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9" fontId="10" fillId="0" borderId="0" xfId="0" applyNumberFormat="1" applyFont="1">
      <alignment vertical="center"/>
    </xf>
    <xf numFmtId="0" fontId="16" fillId="0" borderId="0" xfId="0" applyFont="1">
      <alignment vertical="center"/>
    </xf>
  </cellXfs>
  <cellStyles count="2">
    <cellStyle name="常规" xfId="0" builtinId="0"/>
    <cellStyle name="常规 3" xfId="1" xr:uid="{00000000-0005-0000-0000-000031000000}"/>
  </cellStyles>
  <dxfs count="44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workbookViewId="0">
      <selection activeCell="C6" sqref="C6"/>
    </sheetView>
  </sheetViews>
  <sheetFormatPr defaultColWidth="9" defaultRowHeight="14.4" outlineLevelRow="2" x14ac:dyDescent="0.25"/>
  <cols>
    <col min="1" max="1" width="12.109375" style="23" customWidth="1"/>
    <col min="2" max="2" width="12.6640625" style="23" customWidth="1"/>
    <col min="3" max="3" width="23.77734375" style="23" customWidth="1"/>
    <col min="4" max="4" width="17.6640625" style="23" customWidth="1"/>
    <col min="5" max="5" width="24.44140625" style="23" customWidth="1"/>
    <col min="6" max="16384" width="9" style="23"/>
  </cols>
  <sheetData>
    <row r="1" spans="1:8" s="27" customFormat="1" ht="44.25" customHeight="1" outlineLevel="2" x14ac:dyDescent="0.25">
      <c r="A1" s="5" t="s">
        <v>0</v>
      </c>
      <c r="B1" s="6" t="s">
        <v>1</v>
      </c>
      <c r="C1" s="28" t="s">
        <v>2</v>
      </c>
      <c r="D1" s="29" t="s">
        <v>3</v>
      </c>
      <c r="E1" s="51" t="s">
        <v>400</v>
      </c>
      <c r="F1" s="30"/>
      <c r="G1" s="30"/>
      <c r="H1" s="30"/>
    </row>
    <row r="2" spans="1:8" s="16" customFormat="1" ht="18" customHeight="1" outlineLevel="2" x14ac:dyDescent="0.25">
      <c r="A2" s="32">
        <v>101</v>
      </c>
      <c r="B2" s="10" t="s">
        <v>4</v>
      </c>
      <c r="C2" s="11" t="s">
        <v>5</v>
      </c>
      <c r="D2" s="12">
        <v>0.875</v>
      </c>
      <c r="E2" s="50">
        <f>_xlfn.XLOOKUP(B2,'波次二（低温北京）'!B:B,'波次二（低温北京）'!D:D)</f>
        <v>6.25E-2</v>
      </c>
      <c r="F2" s="23"/>
      <c r="G2" s="23"/>
      <c r="H2" s="23"/>
    </row>
    <row r="3" spans="1:8" s="16" customFormat="1" ht="18" customHeight="1" outlineLevel="2" x14ac:dyDescent="0.25">
      <c r="A3" s="33"/>
      <c r="B3" s="10" t="s">
        <v>6</v>
      </c>
      <c r="C3" s="11" t="s">
        <v>7</v>
      </c>
      <c r="D3" s="12">
        <v>0.88888888888888895</v>
      </c>
      <c r="E3" s="50">
        <f>_xlfn.XLOOKUP(B3,'波次二（低温北京）'!B:B,'波次二（低温北京）'!D:D)</f>
        <v>7.6388888888888895E-2</v>
      </c>
      <c r="F3" s="23"/>
      <c r="G3" s="23"/>
      <c r="H3" s="23"/>
    </row>
    <row r="4" spans="1:8" s="16" customFormat="1" ht="18" customHeight="1" outlineLevel="2" x14ac:dyDescent="0.25">
      <c r="A4" s="33"/>
      <c r="B4" s="10" t="s">
        <v>8</v>
      </c>
      <c r="C4" s="11" t="s">
        <v>9</v>
      </c>
      <c r="D4" s="12">
        <v>0.90972222222222199</v>
      </c>
      <c r="E4" s="50">
        <f>_xlfn.XLOOKUP(B4,'波次二（低温北京）'!B:B,'波次二（低温北京）'!D:D)</f>
        <v>9.7222222222222196E-2</v>
      </c>
      <c r="F4" s="23"/>
      <c r="G4" s="23"/>
      <c r="H4" s="23"/>
    </row>
    <row r="5" spans="1:8" s="16" customFormat="1" ht="18" customHeight="1" outlineLevel="2" x14ac:dyDescent="0.25">
      <c r="A5" s="33"/>
      <c r="B5" s="10" t="s">
        <v>10</v>
      </c>
      <c r="C5" s="11" t="s">
        <v>11</v>
      </c>
      <c r="D5" s="12">
        <v>0.93055555555555602</v>
      </c>
      <c r="E5" s="50">
        <f>_xlfn.XLOOKUP(B5,'波次二（低温北京）'!B:B,'波次二（低温北京）'!D:D)</f>
        <v>0.118055555555556</v>
      </c>
      <c r="F5" s="23"/>
      <c r="G5" s="23"/>
      <c r="H5" s="23"/>
    </row>
    <row r="6" spans="1:8" s="16" customFormat="1" ht="18" customHeight="1" outlineLevel="2" x14ac:dyDescent="0.25">
      <c r="A6" s="33"/>
      <c r="B6" s="10" t="s">
        <v>12</v>
      </c>
      <c r="C6" s="11" t="s">
        <v>13</v>
      </c>
      <c r="D6" s="12">
        <v>0.95833333333333304</v>
      </c>
      <c r="E6" s="50">
        <f>_xlfn.XLOOKUP(B6,'波次二（低温北京）'!B:B,'波次二（低温北京）'!D:D)</f>
        <v>0.14583333333333301</v>
      </c>
      <c r="F6" s="23"/>
      <c r="G6" s="23"/>
      <c r="H6" s="23"/>
    </row>
    <row r="7" spans="1:8" s="16" customFormat="1" ht="18" customHeight="1" outlineLevel="2" x14ac:dyDescent="0.25">
      <c r="A7" s="33"/>
      <c r="B7" s="10" t="s">
        <v>14</v>
      </c>
      <c r="C7" s="11" t="s">
        <v>15</v>
      </c>
      <c r="D7" s="12">
        <v>0.97916666666666696</v>
      </c>
      <c r="E7" s="50">
        <f>_xlfn.XLOOKUP(B7,'波次二（低温北京）'!B:B,'波次二（低温北京）'!D:D)</f>
        <v>0.16666666666666699</v>
      </c>
      <c r="F7" s="23"/>
      <c r="G7" s="23"/>
      <c r="H7" s="23"/>
    </row>
    <row r="8" spans="1:8" s="16" customFormat="1" ht="18" customHeight="1" outlineLevel="2" x14ac:dyDescent="0.25">
      <c r="A8" s="32">
        <v>102</v>
      </c>
      <c r="B8" s="10" t="s">
        <v>20</v>
      </c>
      <c r="C8" s="11" t="s">
        <v>21</v>
      </c>
      <c r="D8" s="12">
        <v>0.85416666666666696</v>
      </c>
      <c r="E8" s="50">
        <f>_xlfn.XLOOKUP(B8,'波次二（低温北京）'!B:B,'波次二（低温北京）'!D:D)</f>
        <v>8.3333333333333301E-2</v>
      </c>
      <c r="F8" s="23"/>
      <c r="G8" s="23"/>
      <c r="H8" s="23"/>
    </row>
    <row r="9" spans="1:8" s="16" customFormat="1" ht="18" customHeight="1" outlineLevel="2" x14ac:dyDescent="0.25">
      <c r="A9" s="33"/>
      <c r="B9" s="10" t="s">
        <v>22</v>
      </c>
      <c r="C9" s="11" t="s">
        <v>23</v>
      </c>
      <c r="D9" s="12">
        <v>0.875</v>
      </c>
      <c r="E9" s="50">
        <f>_xlfn.XLOOKUP(B9,'波次二（低温北京）'!B:B,'波次二（低温北京）'!D:D)</f>
        <v>0.104166666666667</v>
      </c>
      <c r="F9" s="23"/>
      <c r="G9" s="23"/>
      <c r="H9" s="23"/>
    </row>
    <row r="10" spans="1:8" s="16" customFormat="1" ht="18" customHeight="1" outlineLevel="2" x14ac:dyDescent="0.25">
      <c r="A10" s="33"/>
      <c r="B10" s="10" t="s">
        <v>24</v>
      </c>
      <c r="C10" s="11" t="s">
        <v>25</v>
      </c>
      <c r="D10" s="12">
        <v>0.89583333333333304</v>
      </c>
      <c r="E10" s="50">
        <f>_xlfn.XLOOKUP(B10,'波次二（低温北京）'!B:B,'波次二（低温北京）'!D:D)</f>
        <v>0.125</v>
      </c>
      <c r="F10" s="23"/>
      <c r="G10" s="23"/>
      <c r="H10" s="23"/>
    </row>
    <row r="11" spans="1:8" s="16" customFormat="1" ht="18" customHeight="1" outlineLevel="2" x14ac:dyDescent="0.25">
      <c r="A11" s="33"/>
      <c r="B11" s="10" t="s">
        <v>26</v>
      </c>
      <c r="C11" s="11" t="s">
        <v>27</v>
      </c>
      <c r="D11" s="12">
        <v>0.91666666666666696</v>
      </c>
      <c r="E11" s="50">
        <f>_xlfn.XLOOKUP(B11,'波次二（低温北京）'!B:B,'波次二（低温北京）'!D:D)</f>
        <v>0.14583333333333301</v>
      </c>
      <c r="F11" s="23"/>
      <c r="G11" s="23"/>
      <c r="H11" s="23"/>
    </row>
    <row r="12" spans="1:8" s="16" customFormat="1" ht="18" customHeight="1" outlineLevel="2" x14ac:dyDescent="0.25">
      <c r="A12" s="33"/>
      <c r="B12" s="10" t="s">
        <v>28</v>
      </c>
      <c r="C12" s="11" t="s">
        <v>29</v>
      </c>
      <c r="D12" s="12">
        <v>0.9375</v>
      </c>
      <c r="E12" s="50">
        <f>_xlfn.XLOOKUP(B12,'波次二（低温北京）'!B:B,'波次二（低温北京）'!D:D)</f>
        <v>0.16666666666666699</v>
      </c>
      <c r="F12" s="23"/>
      <c r="G12" s="23"/>
      <c r="H12" s="23"/>
    </row>
    <row r="13" spans="1:8" s="16" customFormat="1" ht="18" customHeight="1" outlineLevel="2" x14ac:dyDescent="0.25">
      <c r="A13" s="32">
        <v>103</v>
      </c>
      <c r="B13" s="10" t="s">
        <v>36</v>
      </c>
      <c r="C13" s="11" t="s">
        <v>37</v>
      </c>
      <c r="D13" s="12">
        <v>0.875</v>
      </c>
      <c r="E13" s="50">
        <f>_xlfn.XLOOKUP(B13,'波次二（低温北京）'!B:B,'波次二（低温北京）'!D:D)</f>
        <v>0.20138888888888901</v>
      </c>
      <c r="F13" s="23"/>
      <c r="G13" s="23"/>
      <c r="H13" s="23"/>
    </row>
    <row r="14" spans="1:8" s="16" customFormat="1" ht="18" customHeight="1" outlineLevel="2" x14ac:dyDescent="0.25">
      <c r="A14" s="33"/>
      <c r="B14" s="10" t="s">
        <v>38</v>
      </c>
      <c r="C14" s="11" t="s">
        <v>39</v>
      </c>
      <c r="D14" s="12">
        <v>0.90277777777777801</v>
      </c>
      <c r="E14" s="50">
        <f>_xlfn.XLOOKUP(B14,'波次二（低温北京）'!B:B,'波次二（低温北京）'!D:D)</f>
        <v>6.25E-2</v>
      </c>
      <c r="F14" s="23"/>
      <c r="G14" s="23"/>
      <c r="H14" s="23"/>
    </row>
    <row r="15" spans="1:8" s="16" customFormat="1" ht="18" customHeight="1" outlineLevel="2" x14ac:dyDescent="0.25">
      <c r="A15" s="33"/>
      <c r="B15" s="10" t="s">
        <v>40</v>
      </c>
      <c r="C15" s="11" t="s">
        <v>41</v>
      </c>
      <c r="D15" s="12">
        <v>0.91666666666666696</v>
      </c>
      <c r="E15" s="50">
        <f>_xlfn.XLOOKUP(B15,'波次二（低温北京）'!B:B,'波次二（低温北京）'!D:D)</f>
        <v>0.125</v>
      </c>
      <c r="F15" s="23"/>
      <c r="G15" s="23"/>
      <c r="H15" s="23"/>
    </row>
    <row r="16" spans="1:8" s="16" customFormat="1" ht="18" customHeight="1" outlineLevel="2" x14ac:dyDescent="0.25">
      <c r="A16" s="33"/>
      <c r="B16" s="10" t="s">
        <v>42</v>
      </c>
      <c r="C16" s="11" t="s">
        <v>43</v>
      </c>
      <c r="D16" s="12">
        <v>0.94791666666666696</v>
      </c>
      <c r="E16" s="50">
        <f>_xlfn.XLOOKUP(B16,'波次二（低温北京）'!B:B,'波次二（低温北京）'!D:D)</f>
        <v>0.15277777777777801</v>
      </c>
      <c r="F16" s="23"/>
      <c r="G16" s="23"/>
      <c r="H16" s="23"/>
    </row>
    <row r="17" spans="1:8" s="16" customFormat="1" ht="18" customHeight="1" outlineLevel="2" x14ac:dyDescent="0.25">
      <c r="A17" s="33"/>
      <c r="B17" s="10" t="s">
        <v>44</v>
      </c>
      <c r="C17" s="11" t="s">
        <v>45</v>
      </c>
      <c r="D17" s="12">
        <v>0.97916666666666696</v>
      </c>
      <c r="E17" s="50">
        <f>_xlfn.XLOOKUP(B17,'波次二（低温北京）'!B:B,'波次二（低温北京）'!D:D)</f>
        <v>0.180555555555556</v>
      </c>
      <c r="F17" s="23"/>
      <c r="G17" s="23"/>
      <c r="H17" s="23"/>
    </row>
    <row r="18" spans="1:8" s="16" customFormat="1" ht="18" customHeight="1" outlineLevel="2" x14ac:dyDescent="0.25">
      <c r="A18" s="32">
        <v>107</v>
      </c>
      <c r="B18" s="10" t="s">
        <v>54</v>
      </c>
      <c r="C18" s="11" t="s">
        <v>55</v>
      </c>
      <c r="D18" s="12">
        <v>0.875</v>
      </c>
      <c r="E18" s="50">
        <f>_xlfn.XLOOKUP(B18,'波次二（低温北京）'!B:B,'波次二（低温北京）'!D:D)</f>
        <v>6.25E-2</v>
      </c>
      <c r="F18" s="23"/>
      <c r="G18" s="23"/>
      <c r="H18" s="23"/>
    </row>
    <row r="19" spans="1:8" s="16" customFormat="1" ht="18" customHeight="1" outlineLevel="2" x14ac:dyDescent="0.25">
      <c r="A19" s="33"/>
      <c r="B19" s="10" t="s">
        <v>56</v>
      </c>
      <c r="C19" s="11" t="s">
        <v>57</v>
      </c>
      <c r="D19" s="12">
        <v>0.90277777777777801</v>
      </c>
      <c r="E19" s="50">
        <f>_xlfn.XLOOKUP(B19,'波次二（低温北京）'!B:B,'波次二（低温北京）'!D:D)</f>
        <v>9.375E-2</v>
      </c>
      <c r="F19" s="23"/>
      <c r="G19" s="23"/>
      <c r="H19" s="23"/>
    </row>
    <row r="20" spans="1:8" s="16" customFormat="1" ht="18" customHeight="1" outlineLevel="2" x14ac:dyDescent="0.25">
      <c r="A20" s="33"/>
      <c r="B20" s="10" t="s">
        <v>58</v>
      </c>
      <c r="C20" s="11" t="s">
        <v>59</v>
      </c>
      <c r="D20" s="12">
        <v>0.92361111111111105</v>
      </c>
      <c r="E20" s="50">
        <f>_xlfn.XLOOKUP(B20,'波次二（低温北京）'!B:B,'波次二（低温北京）'!D:D)</f>
        <v>0.125</v>
      </c>
      <c r="F20" s="23"/>
      <c r="G20" s="23"/>
      <c r="H20" s="23"/>
    </row>
    <row r="21" spans="1:8" s="16" customFormat="1" ht="18" customHeight="1" outlineLevel="2" x14ac:dyDescent="0.25">
      <c r="A21" s="33"/>
      <c r="B21" s="10" t="s">
        <v>60</v>
      </c>
      <c r="C21" s="11" t="s">
        <v>61</v>
      </c>
      <c r="D21" s="12">
        <v>0.94791666666666696</v>
      </c>
      <c r="E21" s="50">
        <f>_xlfn.XLOOKUP(B21,'波次二（低温北京）'!B:B,'波次二（低温北京）'!D:D)</f>
        <v>0.13888888888888901</v>
      </c>
      <c r="F21" s="23"/>
      <c r="G21" s="23"/>
      <c r="H21" s="23"/>
    </row>
    <row r="22" spans="1:8" s="16" customFormat="1" ht="18" customHeight="1" outlineLevel="2" x14ac:dyDescent="0.25">
      <c r="A22" s="33"/>
      <c r="B22" s="10" t="s">
        <v>62</v>
      </c>
      <c r="C22" s="11" t="s">
        <v>63</v>
      </c>
      <c r="D22" s="12">
        <v>0.97916666666666696</v>
      </c>
      <c r="E22" s="50">
        <f>_xlfn.XLOOKUP(B22,'波次二（低温北京）'!B:B,'波次二（低温北京）'!D:D)</f>
        <v>0.16666666666666699</v>
      </c>
      <c r="F22" s="23"/>
      <c r="G22" s="23"/>
      <c r="H22" s="23"/>
    </row>
    <row r="23" spans="1:8" s="16" customFormat="1" ht="18" customHeight="1" outlineLevel="2" x14ac:dyDescent="0.25">
      <c r="A23" s="32">
        <v>108</v>
      </c>
      <c r="B23" s="10" t="s">
        <v>72</v>
      </c>
      <c r="C23" s="19" t="s">
        <v>73</v>
      </c>
      <c r="D23" s="18">
        <v>0.875</v>
      </c>
      <c r="E23" s="50">
        <f>_xlfn.XLOOKUP(B23,'波次二（低温北京）'!B:B,'波次二（低温北京）'!D:D)</f>
        <v>0.1875</v>
      </c>
      <c r="F23" s="23"/>
      <c r="G23" s="23"/>
      <c r="H23" s="23"/>
    </row>
    <row r="24" spans="1:8" s="16" customFormat="1" ht="18" customHeight="1" outlineLevel="2" x14ac:dyDescent="0.25">
      <c r="A24" s="33"/>
      <c r="B24" s="10" t="s">
        <v>74</v>
      </c>
      <c r="C24" s="11" t="s">
        <v>75</v>
      </c>
      <c r="D24" s="18">
        <v>0.89583333333333304</v>
      </c>
      <c r="E24" s="50">
        <f>_xlfn.XLOOKUP(B24,'波次二（低温北京）'!B:B,'波次二（低温北京）'!D:D)</f>
        <v>0.16666666666666699</v>
      </c>
      <c r="F24" s="23"/>
      <c r="G24" s="23"/>
      <c r="H24" s="23"/>
    </row>
    <row r="25" spans="1:8" s="16" customFormat="1" ht="18" customHeight="1" outlineLevel="2" x14ac:dyDescent="0.25">
      <c r="A25" s="33"/>
      <c r="B25" s="10" t="s">
        <v>76</v>
      </c>
      <c r="C25" s="11" t="s">
        <v>77</v>
      </c>
      <c r="D25" s="18">
        <v>0.91666666666666696</v>
      </c>
      <c r="E25" s="50">
        <f>_xlfn.XLOOKUP(B25,'波次二（低温北京）'!B:B,'波次二（低温北京）'!D:D)</f>
        <v>0.15277777777777801</v>
      </c>
      <c r="F25" s="23"/>
      <c r="G25" s="23"/>
      <c r="H25" s="23"/>
    </row>
    <row r="26" spans="1:8" s="16" customFormat="1" ht="18" customHeight="1" outlineLevel="2" x14ac:dyDescent="0.25">
      <c r="A26" s="33"/>
      <c r="B26" s="10" t="s">
        <v>78</v>
      </c>
      <c r="C26" s="11" t="s">
        <v>79</v>
      </c>
      <c r="D26" s="18">
        <v>0.94791666666666696</v>
      </c>
      <c r="E26" s="50">
        <f>_xlfn.XLOOKUP(B26,'波次二（低温北京）'!B:B,'波次二（低温北京）'!D:D)</f>
        <v>0.118055555555556</v>
      </c>
      <c r="F26" s="23"/>
      <c r="G26" s="23"/>
      <c r="H26" s="23"/>
    </row>
    <row r="27" spans="1:8" s="16" customFormat="1" ht="18" customHeight="1" outlineLevel="2" x14ac:dyDescent="0.25">
      <c r="A27" s="33"/>
      <c r="B27" s="10" t="s">
        <v>80</v>
      </c>
      <c r="C27" s="11" t="s">
        <v>81</v>
      </c>
      <c r="D27" s="18">
        <v>0.96875</v>
      </c>
      <c r="E27" s="50">
        <f>_xlfn.XLOOKUP(B27,'波次二（低温北京）'!B:B,'波次二（低温北京）'!D:D)</f>
        <v>0.131944444444444</v>
      </c>
      <c r="F27" s="23"/>
      <c r="G27" s="23"/>
      <c r="H27" s="23"/>
    </row>
    <row r="28" spans="1:8" s="16" customFormat="1" ht="18" customHeight="1" outlineLevel="2" x14ac:dyDescent="0.25">
      <c r="A28" s="33"/>
      <c r="B28" s="10" t="s">
        <v>82</v>
      </c>
      <c r="C28" s="11" t="s">
        <v>83</v>
      </c>
      <c r="D28" s="18">
        <v>0.98611111111111105</v>
      </c>
      <c r="E28" s="50">
        <f>_xlfn.XLOOKUP(B28,'波次二（低温北京）'!B:B,'波次二（低温北京）'!D:D)</f>
        <v>9.7222222222222196E-2</v>
      </c>
      <c r="F28" s="23"/>
      <c r="G28" s="23"/>
      <c r="H28" s="23"/>
    </row>
    <row r="29" spans="1:8" s="16" customFormat="1" ht="18" customHeight="1" outlineLevel="2" x14ac:dyDescent="0.25">
      <c r="A29" s="33"/>
      <c r="B29" s="10" t="s">
        <v>84</v>
      </c>
      <c r="C29" s="11" t="s">
        <v>85</v>
      </c>
      <c r="D29" s="18">
        <v>1.0416666666666701E-2</v>
      </c>
      <c r="E29" s="50">
        <f>_xlfn.XLOOKUP(B29,'波次二（低温北京）'!B:B,'波次二（低温北京）'!D:D)</f>
        <v>7.6388888888888895E-2</v>
      </c>
      <c r="F29" s="23"/>
      <c r="G29" s="23"/>
      <c r="H29" s="23"/>
    </row>
    <row r="30" spans="1:8" s="16" customFormat="1" ht="18" customHeight="1" outlineLevel="2" x14ac:dyDescent="0.25">
      <c r="A30" s="35" t="s">
        <v>88</v>
      </c>
      <c r="B30" s="10" t="s">
        <v>89</v>
      </c>
      <c r="C30" s="11" t="s">
        <v>90</v>
      </c>
      <c r="D30" s="18">
        <v>0.84722222222222199</v>
      </c>
      <c r="E30" s="50">
        <f>_xlfn.XLOOKUP(B30,'波次二（低温北京）'!B:B,'波次二（低温北京）'!D:D)</f>
        <v>6.25E-2</v>
      </c>
      <c r="F30" s="23"/>
      <c r="G30" s="23"/>
      <c r="H30" s="23"/>
    </row>
    <row r="31" spans="1:8" s="16" customFormat="1" ht="18" customHeight="1" outlineLevel="2" x14ac:dyDescent="0.25">
      <c r="A31" s="36"/>
      <c r="B31" s="10" t="s">
        <v>91</v>
      </c>
      <c r="C31" s="11" t="s">
        <v>92</v>
      </c>
      <c r="D31" s="18">
        <v>0.875</v>
      </c>
      <c r="E31" s="50">
        <f>_xlfn.XLOOKUP(B31,'波次二（低温北京）'!B:B,'波次二（低温北京）'!D:D)</f>
        <v>9.7222222222222196E-2</v>
      </c>
      <c r="F31" s="23"/>
      <c r="G31" s="23"/>
      <c r="H31" s="23"/>
    </row>
    <row r="32" spans="1:8" s="16" customFormat="1" ht="18" customHeight="1" outlineLevel="2" x14ac:dyDescent="0.25">
      <c r="A32" s="36"/>
      <c r="B32" s="10" t="s">
        <v>93</v>
      </c>
      <c r="C32" s="11" t="s">
        <v>94</v>
      </c>
      <c r="D32" s="18">
        <v>0.90277777777777801</v>
      </c>
      <c r="E32" s="50">
        <f>_xlfn.XLOOKUP(B32,'波次二（低温北京）'!B:B,'波次二（低温北京）'!D:D)</f>
        <v>0.11111111111111099</v>
      </c>
      <c r="F32" s="23"/>
      <c r="G32" s="23"/>
      <c r="H32" s="23"/>
    </row>
    <row r="33" spans="1:8" s="16" customFormat="1" ht="18" customHeight="1" outlineLevel="2" x14ac:dyDescent="0.25">
      <c r="A33" s="36"/>
      <c r="B33" s="10" t="s">
        <v>95</v>
      </c>
      <c r="C33" s="11" t="s">
        <v>96</v>
      </c>
      <c r="D33" s="18">
        <v>0.92361111111111105</v>
      </c>
      <c r="E33" s="50">
        <f>_xlfn.XLOOKUP(B33,'波次二（低温北京）'!B:B,'波次二（低温北京）'!D:D)</f>
        <v>0.131944444444444</v>
      </c>
      <c r="F33" s="23"/>
      <c r="G33" s="23"/>
      <c r="H33" s="23"/>
    </row>
    <row r="34" spans="1:8" s="16" customFormat="1" ht="18" customHeight="1" outlineLevel="2" x14ac:dyDescent="0.25">
      <c r="A34" s="36"/>
      <c r="B34" s="10" t="s">
        <v>97</v>
      </c>
      <c r="C34" s="11" t="s">
        <v>98</v>
      </c>
      <c r="D34" s="18">
        <v>0.95138888888888895</v>
      </c>
      <c r="E34" s="50">
        <f>_xlfn.XLOOKUP(B34,'波次二（低温北京）'!B:B,'波次二（低温北京）'!D:D)</f>
        <v>0.16666666666666699</v>
      </c>
      <c r="F34" s="23"/>
      <c r="G34" s="23"/>
      <c r="H34" s="23"/>
    </row>
    <row r="35" spans="1:8" s="16" customFormat="1" ht="18" customHeight="1" outlineLevel="2" x14ac:dyDescent="0.25">
      <c r="A35" s="36"/>
      <c r="B35" s="10" t="s">
        <v>99</v>
      </c>
      <c r="C35" s="11" t="s">
        <v>100</v>
      </c>
      <c r="D35" s="18">
        <v>0.96527777777777801</v>
      </c>
      <c r="E35" s="50">
        <f>_xlfn.XLOOKUP(B35,'波次二（低温北京）'!B:B,'波次二（低温北京）'!D:D)</f>
        <v>0.180555555555556</v>
      </c>
      <c r="F35" s="23"/>
      <c r="G35" s="23"/>
      <c r="H35" s="23"/>
    </row>
    <row r="36" spans="1:8" s="16" customFormat="1" ht="18" customHeight="1" outlineLevel="2" x14ac:dyDescent="0.25">
      <c r="A36" s="35" t="s">
        <v>105</v>
      </c>
      <c r="B36" s="10" t="s">
        <v>106</v>
      </c>
      <c r="C36" s="11" t="s">
        <v>107</v>
      </c>
      <c r="D36" s="18">
        <v>0.875</v>
      </c>
      <c r="E36" s="50">
        <f>_xlfn.XLOOKUP(B36,'波次二（低温北京）'!B:B,'波次二（低温北京）'!D:D)</f>
        <v>0.22916666666666699</v>
      </c>
      <c r="F36" s="23"/>
      <c r="G36" s="23"/>
      <c r="H36" s="23"/>
    </row>
    <row r="37" spans="1:8" s="16" customFormat="1" ht="18" customHeight="1" outlineLevel="2" x14ac:dyDescent="0.25">
      <c r="A37" s="36"/>
      <c r="B37" s="10" t="s">
        <v>108</v>
      </c>
      <c r="C37" s="11" t="s">
        <v>109</v>
      </c>
      <c r="D37" s="18">
        <v>0.89583333333333304</v>
      </c>
      <c r="E37" s="50">
        <f>_xlfn.XLOOKUP(B37,'波次二（低温北京）'!B:B,'波次二（低温北京）'!D:D)</f>
        <v>0.1875</v>
      </c>
      <c r="F37" s="23"/>
      <c r="G37" s="23"/>
      <c r="H37" s="23"/>
    </row>
    <row r="38" spans="1:8" s="16" customFormat="1" ht="18" customHeight="1" outlineLevel="2" x14ac:dyDescent="0.25">
      <c r="A38" s="36"/>
      <c r="B38" s="10" t="s">
        <v>110</v>
      </c>
      <c r="C38" s="11" t="s">
        <v>111</v>
      </c>
      <c r="D38" s="18">
        <v>0.91666666666666696</v>
      </c>
      <c r="E38" s="50">
        <f>_xlfn.XLOOKUP(B38,'波次二（低温北京）'!B:B,'波次二（低温北京）'!D:D)</f>
        <v>0.16666666666666699</v>
      </c>
      <c r="F38" s="23"/>
      <c r="G38" s="23"/>
      <c r="H38" s="23"/>
    </row>
    <row r="39" spans="1:8" ht="18" customHeight="1" outlineLevel="2" x14ac:dyDescent="0.25">
      <c r="A39" s="36"/>
      <c r="B39" s="10" t="s">
        <v>112</v>
      </c>
      <c r="C39" s="11" t="s">
        <v>113</v>
      </c>
      <c r="D39" s="18">
        <v>0.9375</v>
      </c>
      <c r="E39" s="50">
        <f>_xlfn.XLOOKUP(B39,'波次二（低温北京）'!B:B,'波次二（低温北京）'!D:D)</f>
        <v>0.14583333333333301</v>
      </c>
    </row>
    <row r="40" spans="1:8" ht="18" customHeight="1" outlineLevel="2" x14ac:dyDescent="0.25">
      <c r="A40" s="36"/>
      <c r="B40" s="10" t="s">
        <v>114</v>
      </c>
      <c r="C40" s="11" t="s">
        <v>115</v>
      </c>
      <c r="D40" s="18">
        <v>0.95833333333333304</v>
      </c>
      <c r="E40" s="50">
        <f>_xlfn.XLOOKUP(B40,'波次二（低温北京）'!B:B,'波次二（低温北京）'!D:D)</f>
        <v>0.125</v>
      </c>
    </row>
    <row r="41" spans="1:8" ht="18" customHeight="1" outlineLevel="2" x14ac:dyDescent="0.25">
      <c r="A41" s="36"/>
      <c r="B41" s="10" t="s">
        <v>116</v>
      </c>
      <c r="C41" s="11" t="s">
        <v>117</v>
      </c>
      <c r="D41" s="18">
        <v>0.97916666666666696</v>
      </c>
      <c r="E41" s="50">
        <f>_xlfn.XLOOKUP(B41,'波次二（低温北京）'!B:B,'波次二（低温北京）'!D:D)</f>
        <v>8.3333333333333301E-2</v>
      </c>
    </row>
    <row r="42" spans="1:8" s="16" customFormat="1" ht="18" customHeight="1" outlineLevel="2" x14ac:dyDescent="0.25">
      <c r="A42" s="36"/>
      <c r="B42" s="10" t="s">
        <v>118</v>
      </c>
      <c r="C42" s="11" t="s">
        <v>119</v>
      </c>
      <c r="D42" s="18">
        <v>0</v>
      </c>
      <c r="E42" s="50">
        <f>_xlfn.XLOOKUP(B42,'波次二（低温北京）'!B:B,'波次二（低温北京）'!D:D)</f>
        <v>6.25E-2</v>
      </c>
      <c r="F42" s="23"/>
      <c r="G42" s="23"/>
      <c r="H42" s="23"/>
    </row>
    <row r="43" spans="1:8" ht="18" customHeight="1" outlineLevel="2" x14ac:dyDescent="0.25">
      <c r="A43" s="35" t="s">
        <v>122</v>
      </c>
      <c r="B43" s="10" t="s">
        <v>123</v>
      </c>
      <c r="C43" s="11" t="s">
        <v>124</v>
      </c>
      <c r="D43" s="18">
        <v>0.875</v>
      </c>
      <c r="E43" s="50">
        <f>_xlfn.XLOOKUP(B43,'波次二（低温北京）'!B:B,'波次二（低温北京）'!D:D)</f>
        <v>7.6388888888888895E-2</v>
      </c>
    </row>
    <row r="44" spans="1:8" ht="18" customHeight="1" outlineLevel="1" x14ac:dyDescent="0.25">
      <c r="A44" s="36"/>
      <c r="B44" s="10" t="s">
        <v>125</v>
      </c>
      <c r="C44" s="11" t="s">
        <v>126</v>
      </c>
      <c r="D44" s="18">
        <v>0.89583333333333304</v>
      </c>
      <c r="E44" s="50">
        <f>_xlfn.XLOOKUP(B44,'波次二（低温北京）'!B:B,'波次二（低温北京）'!D:D)</f>
        <v>9.375E-2</v>
      </c>
    </row>
    <row r="45" spans="1:8" ht="18" customHeight="1" outlineLevel="2" x14ac:dyDescent="0.25">
      <c r="A45" s="36"/>
      <c r="B45" s="10" t="s">
        <v>127</v>
      </c>
      <c r="C45" s="20" t="s">
        <v>128</v>
      </c>
      <c r="D45" s="18">
        <v>0.91666666666666696</v>
      </c>
      <c r="E45" s="50">
        <f>_xlfn.XLOOKUP(B45,'波次二（低温北京）'!B:B,'波次二（低温北京）'!D:D)</f>
        <v>0.16666666666666699</v>
      </c>
    </row>
    <row r="46" spans="1:8" ht="18" customHeight="1" outlineLevel="2" x14ac:dyDescent="0.25">
      <c r="A46" s="36"/>
      <c r="B46" s="10" t="s">
        <v>129</v>
      </c>
      <c r="C46" s="11" t="s">
        <v>130</v>
      </c>
      <c r="D46" s="18">
        <v>0.95833333333333304</v>
      </c>
      <c r="E46" s="50">
        <f>_xlfn.XLOOKUP(B46,'波次二（低温北京）'!B:B,'波次二（低温北京）'!D:D)</f>
        <v>0.11111111111111099</v>
      </c>
    </row>
    <row r="47" spans="1:8" ht="18" customHeight="1" outlineLevel="2" x14ac:dyDescent="0.25">
      <c r="A47" s="36"/>
      <c r="B47" s="10" t="s">
        <v>131</v>
      </c>
      <c r="C47" s="11" t="s">
        <v>132</v>
      </c>
      <c r="D47" s="18">
        <v>0.97916666666666696</v>
      </c>
      <c r="E47" s="50">
        <f>_xlfn.XLOOKUP(B47,'波次二（低温北京）'!B:B,'波次二（低温北京）'!D:D)</f>
        <v>0.125</v>
      </c>
    </row>
    <row r="48" spans="1:8" ht="18" customHeight="1" outlineLevel="2" x14ac:dyDescent="0.25">
      <c r="A48" s="36"/>
      <c r="B48" s="10" t="s">
        <v>133</v>
      </c>
      <c r="C48" s="11" t="s">
        <v>134</v>
      </c>
      <c r="D48" s="18">
        <v>0</v>
      </c>
      <c r="E48" s="50">
        <f>_xlfn.XLOOKUP(B48,'波次二（低温北京）'!B:B,'波次二（低温北京）'!D:D)</f>
        <v>0.14583333333333301</v>
      </c>
    </row>
    <row r="49" spans="1:5" ht="18" customHeight="1" outlineLevel="2" x14ac:dyDescent="0.25">
      <c r="A49" s="32">
        <v>112</v>
      </c>
      <c r="B49" s="10" t="s">
        <v>137</v>
      </c>
      <c r="C49" s="11" t="s">
        <v>138</v>
      </c>
      <c r="D49" s="18">
        <v>0.875</v>
      </c>
      <c r="E49" s="50">
        <f>_xlfn.XLOOKUP(B49,'波次二（低温北京）'!B:B,'波次二（低温北京）'!D:D)</f>
        <v>6.25E-2</v>
      </c>
    </row>
    <row r="50" spans="1:5" ht="18" customHeight="1" outlineLevel="2" x14ac:dyDescent="0.25">
      <c r="A50" s="33"/>
      <c r="B50" s="10" t="s">
        <v>139</v>
      </c>
      <c r="C50" s="11" t="s">
        <v>140</v>
      </c>
      <c r="D50" s="18">
        <v>0.89583333333333304</v>
      </c>
      <c r="E50" s="50">
        <f>_xlfn.XLOOKUP(B50,'波次二（低温北京）'!B:B,'波次二（低温北京）'!D:D)</f>
        <v>8.3333333333333301E-2</v>
      </c>
    </row>
    <row r="51" spans="1:5" ht="18" customHeight="1" outlineLevel="2" x14ac:dyDescent="0.25">
      <c r="A51" s="33"/>
      <c r="B51" s="10" t="s">
        <v>141</v>
      </c>
      <c r="C51" s="11" t="s">
        <v>142</v>
      </c>
      <c r="D51" s="18">
        <v>0.91666666666666696</v>
      </c>
      <c r="E51" s="50">
        <f>_xlfn.XLOOKUP(B51,'波次二（低温北京）'!B:B,'波次二（低温北京）'!D:D)</f>
        <v>9.7222222222222196E-2</v>
      </c>
    </row>
    <row r="52" spans="1:5" ht="18" customHeight="1" outlineLevel="2" x14ac:dyDescent="0.25">
      <c r="A52" s="33"/>
      <c r="B52" s="10" t="s">
        <v>143</v>
      </c>
      <c r="C52" s="11" t="s">
        <v>144</v>
      </c>
      <c r="D52" s="18">
        <v>0.93055555555555602</v>
      </c>
      <c r="E52" s="50">
        <f>_xlfn.XLOOKUP(B52,'波次二（低温北京）'!B:B,'波次二（低温北京）'!D:D)</f>
        <v>0.118055555555556</v>
      </c>
    </row>
    <row r="53" spans="1:5" ht="18" customHeight="1" outlineLevel="2" x14ac:dyDescent="0.25">
      <c r="A53" s="33"/>
      <c r="B53" s="10" t="s">
        <v>145</v>
      </c>
      <c r="C53" s="11" t="s">
        <v>146</v>
      </c>
      <c r="D53" s="18">
        <v>0.94444444444444398</v>
      </c>
      <c r="E53" s="50">
        <f>_xlfn.XLOOKUP(B53,'波次二（低温北京）'!B:B,'波次二（低温北京）'!D:D)</f>
        <v>0.15277777777777801</v>
      </c>
    </row>
    <row r="54" spans="1:5" ht="18" customHeight="1" outlineLevel="2" x14ac:dyDescent="0.25">
      <c r="A54" s="33"/>
      <c r="B54" s="10" t="s">
        <v>147</v>
      </c>
      <c r="C54" s="11" t="s">
        <v>148</v>
      </c>
      <c r="D54" s="18">
        <v>0.96527777777777801</v>
      </c>
      <c r="E54" s="50">
        <f>_xlfn.XLOOKUP(B54,'波次二（低温北京）'!B:B,'波次二（低温北京）'!D:D)</f>
        <v>0.17361111111111099</v>
      </c>
    </row>
    <row r="55" spans="1:5" ht="18" customHeight="1" outlineLevel="2" x14ac:dyDescent="0.25">
      <c r="A55" s="32">
        <v>113</v>
      </c>
      <c r="B55" s="10" t="s">
        <v>155</v>
      </c>
      <c r="C55" s="11" t="s">
        <v>156</v>
      </c>
      <c r="D55" s="18">
        <v>0.86111111111111105</v>
      </c>
      <c r="E55" s="50">
        <f>_xlfn.XLOOKUP(B55,'波次二（低温北京）'!B:B,'波次二（低温北京）'!D:D)</f>
        <v>8.3333333333333301E-2</v>
      </c>
    </row>
    <row r="56" spans="1:5" ht="18" customHeight="1" outlineLevel="2" x14ac:dyDescent="0.25">
      <c r="A56" s="33"/>
      <c r="B56" s="10" t="s">
        <v>157</v>
      </c>
      <c r="C56" s="11" t="s">
        <v>158</v>
      </c>
      <c r="D56" s="18">
        <v>0.89583333333333304</v>
      </c>
      <c r="E56" s="50">
        <f>_xlfn.XLOOKUP(B56,'波次二（低温北京）'!B:B,'波次二（低温北京）'!D:D)</f>
        <v>0.104166666666667</v>
      </c>
    </row>
    <row r="57" spans="1:5" ht="18" customHeight="1" outlineLevel="2" x14ac:dyDescent="0.25">
      <c r="A57" s="33"/>
      <c r="B57" s="10" t="s">
        <v>159</v>
      </c>
      <c r="C57" s="11" t="s">
        <v>160</v>
      </c>
      <c r="D57" s="18">
        <v>0.90972222222222199</v>
      </c>
      <c r="E57" s="50">
        <f>_xlfn.XLOOKUP(B57,'波次二（低温北京）'!B:B,'波次二（低温北京）'!D:D)</f>
        <v>0.118055555555556</v>
      </c>
    </row>
    <row r="58" spans="1:5" ht="18" customHeight="1" outlineLevel="2" x14ac:dyDescent="0.25">
      <c r="A58" s="33"/>
      <c r="B58" s="10" t="s">
        <v>161</v>
      </c>
      <c r="C58" s="11" t="s">
        <v>162</v>
      </c>
      <c r="D58" s="18">
        <v>0.93055555555555602</v>
      </c>
      <c r="E58" s="50">
        <f>_xlfn.XLOOKUP(B58,'波次二（低温北京）'!B:B,'波次二（低温北京）'!D:D)</f>
        <v>0.13888888888888901</v>
      </c>
    </row>
    <row r="59" spans="1:5" ht="18" customHeight="1" outlineLevel="2" x14ac:dyDescent="0.25">
      <c r="A59" s="33"/>
      <c r="B59" s="10" t="s">
        <v>163</v>
      </c>
      <c r="C59" s="11" t="s">
        <v>164</v>
      </c>
      <c r="D59" s="18">
        <v>0.95138888888888895</v>
      </c>
      <c r="E59" s="50">
        <f>_xlfn.XLOOKUP(B59,'波次二（低温北京）'!B:B,'波次二（低温北京）'!D:D)</f>
        <v>0.1875</v>
      </c>
    </row>
    <row r="60" spans="1:5" ht="18" customHeight="1" outlineLevel="2" x14ac:dyDescent="0.25">
      <c r="A60" s="33"/>
      <c r="B60" s="10" t="s">
        <v>165</v>
      </c>
      <c r="C60" s="11" t="s">
        <v>166</v>
      </c>
      <c r="D60" s="18">
        <v>0.97222222222222199</v>
      </c>
      <c r="E60" s="50">
        <f>_xlfn.XLOOKUP(B60,'波次二（低温北京）'!B:B,'波次二（低温北京）'!D:D)</f>
        <v>0.15972222222222199</v>
      </c>
    </row>
    <row r="61" spans="1:5" ht="18" customHeight="1" outlineLevel="2" x14ac:dyDescent="0.25">
      <c r="A61" s="33"/>
      <c r="B61" s="10" t="s">
        <v>167</v>
      </c>
      <c r="C61" s="11" t="s">
        <v>168</v>
      </c>
      <c r="D61" s="18">
        <v>0.99305555555555602</v>
      </c>
      <c r="E61" s="50">
        <f>_xlfn.XLOOKUP(B61,'波次二（低温北京）'!B:B,'波次二（低温北京）'!D:D)</f>
        <v>0.20833333333333301</v>
      </c>
    </row>
    <row r="62" spans="1:5" ht="18" customHeight="1" outlineLevel="2" x14ac:dyDescent="0.25">
      <c r="A62" s="34"/>
      <c r="B62" s="10" t="s">
        <v>169</v>
      </c>
      <c r="C62" s="11" t="s">
        <v>170</v>
      </c>
      <c r="D62" s="18">
        <v>2.0833333333333301E-2</v>
      </c>
      <c r="E62" s="50">
        <f>_xlfn.XLOOKUP(B62,'波次二（低温北京）'!B:B,'波次二（低温北京）'!D:D)</f>
        <v>0.17361111111111099</v>
      </c>
    </row>
    <row r="63" spans="1:5" ht="18" customHeight="1" outlineLevel="2" x14ac:dyDescent="0.25">
      <c r="A63" s="32">
        <v>114</v>
      </c>
      <c r="B63" s="10" t="s">
        <v>171</v>
      </c>
      <c r="C63" s="11" t="s">
        <v>172</v>
      </c>
      <c r="D63" s="18">
        <v>0.88194444444444398</v>
      </c>
      <c r="E63" s="50">
        <f>_xlfn.XLOOKUP(B63,'波次二（低温北京）'!B:B,'波次二（低温北京）'!D:D)</f>
        <v>7.6388888888888895E-2</v>
      </c>
    </row>
    <row r="64" spans="1:5" ht="18" customHeight="1" outlineLevel="2" x14ac:dyDescent="0.25">
      <c r="A64" s="33"/>
      <c r="B64" s="10" t="s">
        <v>173</v>
      </c>
      <c r="C64" s="11" t="s">
        <v>174</v>
      </c>
      <c r="D64" s="18">
        <v>0.90277777777777801</v>
      </c>
      <c r="E64" s="50">
        <f>_xlfn.XLOOKUP(B64,'波次二（低温北京）'!B:B,'波次二（低温北京）'!D:D)</f>
        <v>9.7222222222222196E-2</v>
      </c>
    </row>
    <row r="65" spans="1:5" ht="18" customHeight="1" outlineLevel="2" x14ac:dyDescent="0.25">
      <c r="A65" s="33"/>
      <c r="B65" s="10" t="s">
        <v>175</v>
      </c>
      <c r="C65" s="11" t="s">
        <v>176</v>
      </c>
      <c r="D65" s="18">
        <v>0.92361111111111105</v>
      </c>
      <c r="E65" s="50">
        <f>_xlfn.XLOOKUP(B65,'波次二（低温北京）'!B:B,'波次二（低温北京）'!D:D)</f>
        <v>0.114583333333333</v>
      </c>
    </row>
    <row r="66" spans="1:5" ht="18" customHeight="1" outlineLevel="2" x14ac:dyDescent="0.25">
      <c r="A66" s="33"/>
      <c r="B66" s="21" t="s">
        <v>177</v>
      </c>
      <c r="C66" s="22" t="s">
        <v>178</v>
      </c>
      <c r="D66" s="18">
        <v>0.94444444444444398</v>
      </c>
      <c r="E66" s="50">
        <f>_xlfn.XLOOKUP(B66,'波次二（低温北京）'!B:B,'波次二（低温北京）'!D:D)</f>
        <v>0.13541666666666699</v>
      </c>
    </row>
    <row r="67" spans="1:5" ht="18" customHeight="1" outlineLevel="2" x14ac:dyDescent="0.25">
      <c r="A67" s="33"/>
      <c r="B67" s="10" t="s">
        <v>179</v>
      </c>
      <c r="C67" s="11" t="s">
        <v>180</v>
      </c>
      <c r="D67" s="18">
        <v>0.96527777777777801</v>
      </c>
      <c r="E67" s="50">
        <f>_xlfn.XLOOKUP(B67,'波次二（低温北京）'!B:B,'波次二（低温北京）'!D:D)</f>
        <v>0.15972222222222199</v>
      </c>
    </row>
    <row r="68" spans="1:5" ht="18" customHeight="1" outlineLevel="2" x14ac:dyDescent="0.25">
      <c r="A68" s="33"/>
      <c r="B68" s="10" t="s">
        <v>181</v>
      </c>
      <c r="C68" s="11" t="s">
        <v>182</v>
      </c>
      <c r="D68" s="18">
        <v>0.98611111111111105</v>
      </c>
      <c r="E68" s="50">
        <f>_xlfn.XLOOKUP(B68,'波次二（低温北京）'!B:B,'波次二（低温北京）'!D:D)</f>
        <v>0.180555555555556</v>
      </c>
    </row>
    <row r="69" spans="1:5" ht="18" customHeight="1" outlineLevel="2" x14ac:dyDescent="0.25">
      <c r="A69" s="32">
        <v>115</v>
      </c>
      <c r="B69" s="10" t="s">
        <v>187</v>
      </c>
      <c r="C69" s="11" t="s">
        <v>188</v>
      </c>
      <c r="D69" s="18">
        <v>0.85416666666666696</v>
      </c>
      <c r="E69" s="50">
        <f>_xlfn.XLOOKUP(B69,'波次二（低温北京）'!B:B,'波次二（低温北京）'!D:D)</f>
        <v>4.1666666666666699E-2</v>
      </c>
    </row>
    <row r="70" spans="1:5" ht="18" customHeight="1" outlineLevel="2" x14ac:dyDescent="0.25">
      <c r="A70" s="33"/>
      <c r="B70" s="10" t="s">
        <v>189</v>
      </c>
      <c r="C70" s="11" t="s">
        <v>190</v>
      </c>
      <c r="D70" s="18">
        <v>0.875</v>
      </c>
      <c r="E70" s="50">
        <f>_xlfn.XLOOKUP(B70,'波次二（低温北京）'!B:B,'波次二（低温北京）'!D:D)</f>
        <v>6.5972222222222196E-2</v>
      </c>
    </row>
    <row r="71" spans="1:5" ht="18" customHeight="1" outlineLevel="2" x14ac:dyDescent="0.25">
      <c r="A71" s="33"/>
      <c r="B71" s="10" t="s">
        <v>191</v>
      </c>
      <c r="C71" s="11" t="s">
        <v>192</v>
      </c>
      <c r="D71" s="18">
        <v>0.90972222222222199</v>
      </c>
      <c r="E71" s="50">
        <f>_xlfn.XLOOKUP(B71,'波次二（低温北京）'!B:B,'波次二（低温北京）'!D:D)</f>
        <v>9.0277777777777804E-2</v>
      </c>
    </row>
    <row r="72" spans="1:5" ht="18" customHeight="1" outlineLevel="2" x14ac:dyDescent="0.25">
      <c r="A72" s="33"/>
      <c r="B72" s="10" t="s">
        <v>193</v>
      </c>
      <c r="C72" s="11" t="s">
        <v>194</v>
      </c>
      <c r="D72" s="18">
        <v>0.9375</v>
      </c>
      <c r="E72" s="50">
        <f>_xlfn.XLOOKUP(B72,'波次二（低温北京）'!B:B,'波次二（低温北京）'!D:D)</f>
        <v>0.121527777777778</v>
      </c>
    </row>
    <row r="73" spans="1:5" ht="18" customHeight="1" outlineLevel="2" x14ac:dyDescent="0.25">
      <c r="A73" s="33"/>
      <c r="B73" s="10" t="s">
        <v>195</v>
      </c>
      <c r="C73" s="11" t="s">
        <v>196</v>
      </c>
      <c r="D73" s="18">
        <v>0.95138888888888895</v>
      </c>
      <c r="E73" s="50">
        <f>_xlfn.XLOOKUP(B73,'波次二（低温北京）'!B:B,'波次二（低温北京）'!D:D)</f>
        <v>0.180555555555556</v>
      </c>
    </row>
    <row r="74" spans="1:5" ht="18" customHeight="1" outlineLevel="2" x14ac:dyDescent="0.25">
      <c r="A74" s="33"/>
      <c r="B74" s="10" t="s">
        <v>197</v>
      </c>
      <c r="C74" s="11" t="s">
        <v>198</v>
      </c>
      <c r="D74" s="18">
        <v>0.97222222222222199</v>
      </c>
      <c r="E74" s="50">
        <f>_xlfn.XLOOKUP(B74,'波次二（低温北京）'!B:B,'波次二（低温北京）'!D:D)</f>
        <v>0.1875</v>
      </c>
    </row>
    <row r="75" spans="1:5" ht="18" customHeight="1" outlineLevel="2" x14ac:dyDescent="0.25">
      <c r="A75" s="33"/>
      <c r="B75" s="10" t="s">
        <v>199</v>
      </c>
      <c r="C75" s="11" t="s">
        <v>200</v>
      </c>
      <c r="D75" s="18">
        <v>0.98611111111111105</v>
      </c>
      <c r="E75" s="50">
        <f>_xlfn.XLOOKUP(B75,'波次二（低温北京）'!B:B,'波次二（低温北京）'!D:D)</f>
        <v>0.20833333333333301</v>
      </c>
    </row>
    <row r="76" spans="1:5" ht="18" customHeight="1" outlineLevel="2" x14ac:dyDescent="0.25">
      <c r="A76" s="38">
        <v>117</v>
      </c>
      <c r="B76" s="10" t="s">
        <v>203</v>
      </c>
      <c r="C76" s="11" t="s">
        <v>204</v>
      </c>
      <c r="D76" s="18">
        <v>0.875</v>
      </c>
      <c r="E76" s="50">
        <f>_xlfn.XLOOKUP(B76,'波次二（低温北京）'!B:B,'波次二（低温北京）'!D:D)</f>
        <v>0.16666666666666699</v>
      </c>
    </row>
    <row r="77" spans="1:5" ht="18" customHeight="1" outlineLevel="2" x14ac:dyDescent="0.25">
      <c r="A77" s="38"/>
      <c r="B77" s="10" t="s">
        <v>205</v>
      </c>
      <c r="C77" s="11" t="s">
        <v>206</v>
      </c>
      <c r="D77" s="18">
        <v>0.88888888888888895</v>
      </c>
      <c r="E77" s="50">
        <f>_xlfn.XLOOKUP(B77,'波次二（低温北京）'!B:B,'波次二（低温北京）'!D:D)</f>
        <v>0.180555555555556</v>
      </c>
    </row>
    <row r="78" spans="1:5" ht="18" customHeight="1" outlineLevel="2" x14ac:dyDescent="0.25">
      <c r="A78" s="38"/>
      <c r="B78" s="10" t="s">
        <v>207</v>
      </c>
      <c r="C78" s="11" t="s">
        <v>208</v>
      </c>
      <c r="D78" s="18">
        <v>0.90972222222222199</v>
      </c>
      <c r="E78" s="50">
        <f>_xlfn.XLOOKUP(B78,'波次二（低温北京）'!B:B,'波次二（低温北京）'!D:D)</f>
        <v>0.15277777777777801</v>
      </c>
    </row>
    <row r="79" spans="1:5" ht="18" customHeight="1" outlineLevel="2" x14ac:dyDescent="0.25">
      <c r="A79" s="38"/>
      <c r="B79" s="10" t="s">
        <v>209</v>
      </c>
      <c r="C79" s="11" t="s">
        <v>210</v>
      </c>
      <c r="D79" s="18">
        <v>0.93055555555555602</v>
      </c>
      <c r="E79" s="50">
        <f>_xlfn.XLOOKUP(B79,'波次二（低温北京）'!B:B,'波次二（低温北京）'!D:D)</f>
        <v>0.125</v>
      </c>
    </row>
    <row r="80" spans="1:5" ht="18" customHeight="1" outlineLevel="2" x14ac:dyDescent="0.25">
      <c r="A80" s="38"/>
      <c r="B80" s="10" t="s">
        <v>211</v>
      </c>
      <c r="C80" s="11" t="s">
        <v>212</v>
      </c>
      <c r="D80" s="18">
        <v>0.95138888888888895</v>
      </c>
      <c r="E80" s="50">
        <f>_xlfn.XLOOKUP(B80,'波次二（低温北京）'!B:B,'波次二（低温北京）'!D:D)</f>
        <v>0.20833333333333301</v>
      </c>
    </row>
    <row r="81" spans="1:8" ht="18" customHeight="1" outlineLevel="2" x14ac:dyDescent="0.25">
      <c r="A81" s="38"/>
      <c r="B81" s="10" t="s">
        <v>213</v>
      </c>
      <c r="C81" s="11" t="s">
        <v>214</v>
      </c>
      <c r="D81" s="18">
        <v>0.98263888888888895</v>
      </c>
      <c r="E81" s="50">
        <f>_xlfn.XLOOKUP(B81,'波次二（低温北京）'!B:B,'波次二（低温北京）'!D:D)</f>
        <v>0.104166666666667</v>
      </c>
    </row>
    <row r="82" spans="1:8" ht="18" customHeight="1" outlineLevel="2" x14ac:dyDescent="0.25">
      <c r="A82" s="38"/>
      <c r="B82" s="10" t="s">
        <v>215</v>
      </c>
      <c r="C82" s="11" t="s">
        <v>216</v>
      </c>
      <c r="D82" s="18">
        <v>0</v>
      </c>
      <c r="E82" s="50">
        <f>_xlfn.XLOOKUP(B82,'波次二（低温北京）'!B:B,'波次二（低温北京）'!D:D)</f>
        <v>8.3333333333333301E-2</v>
      </c>
    </row>
    <row r="83" spans="1:8" ht="18" customHeight="1" outlineLevel="2" x14ac:dyDescent="0.25">
      <c r="A83" s="33"/>
      <c r="B83" s="10" t="s">
        <v>227</v>
      </c>
      <c r="C83" s="11" t="s">
        <v>228</v>
      </c>
      <c r="D83" s="31"/>
      <c r="E83" s="50" t="e">
        <f>_xlfn.XLOOKUP(B83,'波次二（低温北京）'!B:B,'波次二（低温北京）'!D:D)</f>
        <v>#N/A</v>
      </c>
    </row>
    <row r="84" spans="1:8" ht="18" customHeight="1" outlineLevel="2" x14ac:dyDescent="0.25"/>
    <row r="85" spans="1:8" ht="18" customHeight="1" outlineLevel="2" x14ac:dyDescent="0.25"/>
    <row r="86" spans="1:8" ht="18" customHeight="1" outlineLevel="2" x14ac:dyDescent="0.25"/>
    <row r="87" spans="1:8" ht="18" customHeight="1" outlineLevel="2" x14ac:dyDescent="0.25"/>
    <row r="88" spans="1:8" ht="18" customHeight="1" outlineLevel="2" x14ac:dyDescent="0.25"/>
    <row r="89" spans="1:8" s="16" customFormat="1" ht="18" customHeight="1" outlineLevel="2" x14ac:dyDescent="0.25">
      <c r="A89" s="23"/>
      <c r="B89" s="23"/>
      <c r="C89" s="23"/>
      <c r="D89" s="23"/>
      <c r="E89" s="23"/>
      <c r="F89" s="23"/>
      <c r="G89" s="23"/>
      <c r="H89" s="23"/>
    </row>
    <row r="90" spans="1:8" s="16" customFormat="1" ht="18" customHeight="1" outlineLevel="2" x14ac:dyDescent="0.25">
      <c r="A90" s="23"/>
      <c r="B90" s="23"/>
      <c r="C90" s="23"/>
      <c r="D90" s="23"/>
      <c r="E90" s="23"/>
      <c r="F90" s="23"/>
      <c r="G90" s="23"/>
      <c r="H90" s="23"/>
    </row>
    <row r="91" spans="1:8" s="16" customFormat="1" ht="18" customHeight="1" outlineLevel="2" x14ac:dyDescent="0.25">
      <c r="A91" s="23"/>
      <c r="B91" s="23"/>
      <c r="C91" s="23"/>
      <c r="D91" s="23"/>
      <c r="E91" s="23"/>
      <c r="F91" s="23"/>
      <c r="G91" s="23"/>
      <c r="H91" s="23"/>
    </row>
    <row r="92" spans="1:8" s="16" customFormat="1" ht="18" customHeight="1" outlineLevel="2" x14ac:dyDescent="0.25">
      <c r="A92" s="23"/>
      <c r="B92" s="23"/>
      <c r="C92" s="23"/>
      <c r="D92" s="23"/>
      <c r="E92" s="23"/>
      <c r="F92" s="23"/>
      <c r="G92" s="23"/>
      <c r="H92" s="23"/>
    </row>
    <row r="93" spans="1:8" s="16" customFormat="1" ht="18" customHeight="1" outlineLevel="2" x14ac:dyDescent="0.25">
      <c r="A93" s="23"/>
      <c r="B93" s="23"/>
      <c r="C93" s="23"/>
      <c r="D93" s="23"/>
      <c r="E93" s="23"/>
      <c r="F93" s="23"/>
      <c r="G93" s="23"/>
      <c r="H93" s="23"/>
    </row>
    <row r="94" spans="1:8" s="16" customFormat="1" ht="18" customHeight="1" outlineLevel="2" x14ac:dyDescent="0.25">
      <c r="A94" s="23"/>
      <c r="B94" s="23"/>
      <c r="C94" s="23"/>
      <c r="D94" s="23"/>
      <c r="E94" s="23"/>
      <c r="F94" s="23"/>
      <c r="G94" s="23"/>
      <c r="H94" s="23"/>
    </row>
    <row r="95" spans="1:8" s="16" customFormat="1" ht="18" customHeight="1" outlineLevel="2" x14ac:dyDescent="0.25">
      <c r="A95" s="23"/>
      <c r="B95" s="23"/>
      <c r="C95" s="23"/>
      <c r="D95" s="23"/>
      <c r="E95" s="23"/>
      <c r="F95" s="23"/>
      <c r="G95" s="23"/>
      <c r="H95" s="23"/>
    </row>
  </sheetData>
  <autoFilter ref="A1:E83" xr:uid="{00000000-0001-0000-0000-000000000000}"/>
  <mergeCells count="14">
    <mergeCell ref="A63:A68"/>
    <mergeCell ref="A69:A75"/>
    <mergeCell ref="A76:A82"/>
    <mergeCell ref="A83"/>
    <mergeCell ref="A30:A35"/>
    <mergeCell ref="A36:A42"/>
    <mergeCell ref="A43:A48"/>
    <mergeCell ref="A49:A54"/>
    <mergeCell ref="A55:A62"/>
    <mergeCell ref="A2:A7"/>
    <mergeCell ref="A8:A12"/>
    <mergeCell ref="A13:A17"/>
    <mergeCell ref="A18:A22"/>
    <mergeCell ref="A23:A29"/>
  </mergeCells>
  <phoneticPr fontId="15" type="noConversion"/>
  <conditionalFormatting sqref="B1">
    <cfRule type="duplicateValues" dxfId="441" priority="193"/>
    <cfRule type="duplicateValues" dxfId="440" priority="195"/>
    <cfRule type="duplicateValues" dxfId="439" priority="196"/>
    <cfRule type="duplicateValues" dxfId="438" priority="197"/>
    <cfRule type="duplicateValues" dxfId="437" priority="198"/>
    <cfRule type="duplicateValues" dxfId="436" priority="199"/>
    <cfRule type="duplicateValues" dxfId="435" priority="200"/>
    <cfRule type="duplicateValues" dxfId="434" priority="201"/>
    <cfRule type="duplicateValues" dxfId="433" priority="202"/>
    <cfRule type="duplicateValues" dxfId="432" priority="203"/>
    <cfRule type="duplicateValues" dxfId="431" priority="204"/>
    <cfRule type="duplicateValues" dxfId="430" priority="205"/>
    <cfRule type="duplicateValues" dxfId="429" priority="206"/>
    <cfRule type="duplicateValues" dxfId="428" priority="207"/>
    <cfRule type="duplicateValues" dxfId="427" priority="208"/>
    <cfRule type="duplicateValues" dxfId="426" priority="209"/>
    <cfRule type="duplicateValues" dxfId="425" priority="210"/>
    <cfRule type="duplicateValues" dxfId="424" priority="211"/>
    <cfRule type="duplicateValues" dxfId="423" priority="212"/>
    <cfRule type="duplicateValues" dxfId="422" priority="213"/>
    <cfRule type="duplicateValues" dxfId="421" priority="214"/>
    <cfRule type="duplicateValues" dxfId="420" priority="215"/>
    <cfRule type="duplicateValues" dxfId="419" priority="216"/>
    <cfRule type="duplicateValues" dxfId="418" priority="217"/>
    <cfRule type="duplicateValues" dxfId="417" priority="218"/>
    <cfRule type="duplicateValues" dxfId="416" priority="219"/>
    <cfRule type="duplicateValues" dxfId="415" priority="220"/>
    <cfRule type="duplicateValues" dxfId="414" priority="221"/>
    <cfRule type="duplicateValues" dxfId="413" priority="222"/>
    <cfRule type="duplicateValues" dxfId="412" priority="223"/>
    <cfRule type="duplicateValues" dxfId="411" priority="224"/>
    <cfRule type="duplicateValues" dxfId="410" priority="225"/>
    <cfRule type="duplicateValues" dxfId="409" priority="226"/>
    <cfRule type="duplicateValues" dxfId="408" priority="227"/>
  </conditionalFormatting>
  <conditionalFormatting sqref="B69:B71 B30:B57 B1:B22">
    <cfRule type="timePeriod" dxfId="407" priority="131" timePeriod="yesterday">
      <formula>FLOOR(B1,1)=TODAY()-1</formula>
    </cfRule>
  </conditionalFormatting>
  <conditionalFormatting sqref="B2">
    <cfRule type="duplicateValues" dxfId="406" priority="190"/>
  </conditionalFormatting>
  <conditionalFormatting sqref="B2:B3">
    <cfRule type="duplicateValues" dxfId="405" priority="189"/>
  </conditionalFormatting>
  <conditionalFormatting sqref="B3">
    <cfRule type="duplicateValues" dxfId="404" priority="188"/>
  </conditionalFormatting>
  <conditionalFormatting sqref="B8">
    <cfRule type="duplicateValues" dxfId="403" priority="180"/>
  </conditionalFormatting>
  <conditionalFormatting sqref="B13">
    <cfRule type="duplicateValues" dxfId="402" priority="163"/>
  </conditionalFormatting>
  <conditionalFormatting sqref="B19 B13:B14 B16:B17">
    <cfRule type="duplicateValues" dxfId="401" priority="177"/>
  </conditionalFormatting>
  <conditionalFormatting sqref="B19 B14">
    <cfRule type="duplicateValues" dxfId="400" priority="166"/>
  </conditionalFormatting>
  <conditionalFormatting sqref="B14">
    <cfRule type="duplicateValues" dxfId="399" priority="176"/>
  </conditionalFormatting>
  <conditionalFormatting sqref="B15">
    <cfRule type="duplicateValues" dxfId="398" priority="164"/>
  </conditionalFormatting>
  <conditionalFormatting sqref="B19 B16:B17">
    <cfRule type="duplicateValues" dxfId="397" priority="165"/>
  </conditionalFormatting>
  <conditionalFormatting sqref="B18">
    <cfRule type="duplicateValues" dxfId="396" priority="172"/>
  </conditionalFormatting>
  <conditionalFormatting sqref="B18">
    <cfRule type="duplicateValues" dxfId="395" priority="171"/>
  </conditionalFormatting>
  <conditionalFormatting sqref="B20">
    <cfRule type="duplicateValues" dxfId="394" priority="157"/>
  </conditionalFormatting>
  <conditionalFormatting sqref="B21">
    <cfRule type="duplicateValues" dxfId="393" priority="154"/>
  </conditionalFormatting>
  <conditionalFormatting sqref="B22">
    <cfRule type="duplicateValues" dxfId="392" priority="161"/>
  </conditionalFormatting>
  <conditionalFormatting sqref="B23 B26:B28">
    <cfRule type="duplicateValues" dxfId="391" priority="151"/>
  </conditionalFormatting>
  <conditionalFormatting sqref="B23 B26:B29">
    <cfRule type="duplicateValues" dxfId="390" priority="169"/>
  </conditionalFormatting>
  <conditionalFormatting sqref="B23 B27:B28">
    <cfRule type="duplicateValues" dxfId="389" priority="150"/>
  </conditionalFormatting>
  <conditionalFormatting sqref="B23 B28">
    <cfRule type="duplicateValues" dxfId="388" priority="145"/>
  </conditionalFormatting>
  <conditionalFormatting sqref="B23">
    <cfRule type="duplicateValues" dxfId="387" priority="146"/>
  </conditionalFormatting>
  <conditionalFormatting sqref="B23:B24 B26:B29">
    <cfRule type="duplicateValues" dxfId="386" priority="170"/>
  </conditionalFormatting>
  <conditionalFormatting sqref="B24">
    <cfRule type="duplicateValues" dxfId="385" priority="143"/>
  </conditionalFormatting>
  <conditionalFormatting sqref="B24:B25">
    <cfRule type="timePeriod" dxfId="384" priority="142" timePeriod="yesterday">
      <formula>FLOOR(B24,1)=TODAY()-1</formula>
    </cfRule>
  </conditionalFormatting>
  <conditionalFormatting sqref="B25">
    <cfRule type="duplicateValues" dxfId="383" priority="139"/>
  </conditionalFormatting>
  <conditionalFormatting sqref="B26">
    <cfRule type="duplicateValues" dxfId="382" priority="147"/>
  </conditionalFormatting>
  <conditionalFormatting sqref="B27">
    <cfRule type="duplicateValues" dxfId="381" priority="149"/>
  </conditionalFormatting>
  <conditionalFormatting sqref="B28">
    <cfRule type="duplicateValues" dxfId="380" priority="144"/>
  </conditionalFormatting>
  <conditionalFormatting sqref="B29">
    <cfRule type="duplicateValues" dxfId="379" priority="148"/>
  </conditionalFormatting>
  <conditionalFormatting sqref="B30 B32">
    <cfRule type="duplicateValues" dxfId="378" priority="137"/>
  </conditionalFormatting>
  <conditionalFormatting sqref="B30:B32">
    <cfRule type="duplicateValues" dxfId="377" priority="136"/>
  </conditionalFormatting>
  <conditionalFormatting sqref="B30:B33">
    <cfRule type="duplicateValues" dxfId="376" priority="138"/>
  </conditionalFormatting>
  <conditionalFormatting sqref="B31">
    <cfRule type="duplicateValues" dxfId="375" priority="135"/>
  </conditionalFormatting>
  <conditionalFormatting sqref="B33">
    <cfRule type="duplicateValues" dxfId="374" priority="134"/>
  </conditionalFormatting>
  <conditionalFormatting sqref="B34">
    <cfRule type="duplicateValues" dxfId="373" priority="141"/>
  </conditionalFormatting>
  <conditionalFormatting sqref="B36">
    <cfRule type="duplicateValues" dxfId="372" priority="127"/>
  </conditionalFormatting>
  <conditionalFormatting sqref="B36:B37 B39:B40">
    <cfRule type="duplicateValues" dxfId="371" priority="126"/>
  </conditionalFormatting>
  <conditionalFormatting sqref="B36:B40">
    <cfRule type="duplicateValues" dxfId="370" priority="129"/>
  </conditionalFormatting>
  <conditionalFormatting sqref="B37 B39:B40">
    <cfRule type="duplicateValues" dxfId="369" priority="124"/>
  </conditionalFormatting>
  <conditionalFormatting sqref="B37">
    <cfRule type="duplicateValues" dxfId="368" priority="125"/>
  </conditionalFormatting>
  <conditionalFormatting sqref="B38">
    <cfRule type="duplicateValues" dxfId="367" priority="121"/>
    <cfRule type="duplicateValues" dxfId="366" priority="122"/>
  </conditionalFormatting>
  <conditionalFormatting sqref="B39:B40">
    <cfRule type="duplicateValues" dxfId="365" priority="123"/>
  </conditionalFormatting>
  <conditionalFormatting sqref="B41">
    <cfRule type="duplicateValues" dxfId="364" priority="118"/>
  </conditionalFormatting>
  <conditionalFormatting sqref="B41:B42">
    <cfRule type="duplicateValues" dxfId="363" priority="119"/>
  </conditionalFormatting>
  <conditionalFormatting sqref="B42">
    <cfRule type="duplicateValues" dxfId="362" priority="120"/>
  </conditionalFormatting>
  <conditionalFormatting sqref="B43">
    <cfRule type="duplicateValues" dxfId="361" priority="108"/>
  </conditionalFormatting>
  <conditionalFormatting sqref="B44 B47">
    <cfRule type="duplicateValues" dxfId="360" priority="107"/>
  </conditionalFormatting>
  <conditionalFormatting sqref="B44 B47:B48">
    <cfRule type="duplicateValues" dxfId="359" priority="106"/>
  </conditionalFormatting>
  <conditionalFormatting sqref="B45">
    <cfRule type="duplicateValues" dxfId="358" priority="103"/>
  </conditionalFormatting>
  <conditionalFormatting sqref="B46">
    <cfRule type="duplicateValues" dxfId="357" priority="104"/>
  </conditionalFormatting>
  <conditionalFormatting sqref="B48">
    <cfRule type="duplicateValues" dxfId="356" priority="105"/>
  </conditionalFormatting>
  <conditionalFormatting sqref="B49:B52">
    <cfRule type="duplicateValues" dxfId="355" priority="92"/>
  </conditionalFormatting>
  <conditionalFormatting sqref="B53">
    <cfRule type="duplicateValues" dxfId="354" priority="95"/>
    <cfRule type="duplicateValues" dxfId="353" priority="96"/>
    <cfRule type="duplicateValues" dxfId="352" priority="97"/>
    <cfRule type="duplicateValues" dxfId="351" priority="101"/>
  </conditionalFormatting>
  <conditionalFormatting sqref="B54">
    <cfRule type="duplicateValues" dxfId="350" priority="94"/>
  </conditionalFormatting>
  <conditionalFormatting sqref="B55">
    <cfRule type="duplicateValues" dxfId="349" priority="79"/>
    <cfRule type="duplicateValues" dxfId="348" priority="88"/>
  </conditionalFormatting>
  <conditionalFormatting sqref="B55:B62">
    <cfRule type="duplicateValues" dxfId="347" priority="90"/>
  </conditionalFormatting>
  <conditionalFormatting sqref="B56">
    <cfRule type="duplicateValues" dxfId="346" priority="80"/>
  </conditionalFormatting>
  <conditionalFormatting sqref="B57">
    <cfRule type="duplicateValues" dxfId="345" priority="89"/>
  </conditionalFormatting>
  <conditionalFormatting sqref="B58">
    <cfRule type="duplicateValues" dxfId="344" priority="81"/>
  </conditionalFormatting>
  <conditionalFormatting sqref="B58:B62">
    <cfRule type="duplicateValues" dxfId="343" priority="84"/>
  </conditionalFormatting>
  <conditionalFormatting sqref="B59">
    <cfRule type="duplicateValues" dxfId="342" priority="82"/>
  </conditionalFormatting>
  <conditionalFormatting sqref="B60 B62">
    <cfRule type="duplicateValues" dxfId="341" priority="83"/>
  </conditionalFormatting>
  <conditionalFormatting sqref="B60:B62">
    <cfRule type="duplicateValues" dxfId="340" priority="87"/>
  </conditionalFormatting>
  <conditionalFormatting sqref="B61">
    <cfRule type="duplicateValues" dxfId="339" priority="85"/>
  </conditionalFormatting>
  <conditionalFormatting sqref="B63">
    <cfRule type="duplicateValues" dxfId="338" priority="76"/>
  </conditionalFormatting>
  <conditionalFormatting sqref="B64 B67">
    <cfRule type="timePeriod" dxfId="337" priority="68" timePeriod="yesterday">
      <formula>FLOOR(B64,1)=TODAY()-1</formula>
    </cfRule>
  </conditionalFormatting>
  <conditionalFormatting sqref="B64">
    <cfRule type="duplicateValues" dxfId="336" priority="63"/>
    <cfRule type="duplicateValues" dxfId="335" priority="71"/>
    <cfRule type="duplicateValues" dxfId="334" priority="72"/>
    <cfRule type="duplicateValues" dxfId="333" priority="73"/>
  </conditionalFormatting>
  <conditionalFormatting sqref="B65 B68">
    <cfRule type="duplicateValues" dxfId="332" priority="61"/>
  </conditionalFormatting>
  <conditionalFormatting sqref="B65">
    <cfRule type="duplicateValues" dxfId="331" priority="60"/>
  </conditionalFormatting>
  <conditionalFormatting sqref="B67">
    <cfRule type="duplicateValues" dxfId="330" priority="67"/>
  </conditionalFormatting>
  <conditionalFormatting sqref="B68">
    <cfRule type="duplicateValues" dxfId="329" priority="66"/>
  </conditionalFormatting>
  <conditionalFormatting sqref="B73:B75">
    <cfRule type="timePeriod" dxfId="328" priority="48" timePeriod="yesterday">
      <formula>FLOOR(B73,1)=TODAY()-1</formula>
    </cfRule>
  </conditionalFormatting>
  <conditionalFormatting sqref="B69:B70">
    <cfRule type="duplicateValues" dxfId="327" priority="51"/>
    <cfRule type="duplicateValues" dxfId="326" priority="58"/>
  </conditionalFormatting>
  <conditionalFormatting sqref="B71">
    <cfRule type="duplicateValues" dxfId="325" priority="50"/>
  </conditionalFormatting>
  <conditionalFormatting sqref="B73">
    <cfRule type="duplicateValues" dxfId="324" priority="45"/>
  </conditionalFormatting>
  <conditionalFormatting sqref="B73:B74">
    <cfRule type="duplicateValues" dxfId="323" priority="54"/>
  </conditionalFormatting>
  <conditionalFormatting sqref="B74">
    <cfRule type="duplicateValues" dxfId="322" priority="44"/>
  </conditionalFormatting>
  <conditionalFormatting sqref="B75">
    <cfRule type="duplicateValues" dxfId="321" priority="56"/>
  </conditionalFormatting>
  <conditionalFormatting sqref="B76">
    <cfRule type="duplicateValues" dxfId="320" priority="7"/>
    <cfRule type="duplicateValues" dxfId="319" priority="14"/>
    <cfRule type="duplicateValues" dxfId="318" priority="21"/>
    <cfRule type="duplicateValues" dxfId="317" priority="28"/>
    <cfRule type="duplicateValues" dxfId="316" priority="35"/>
  </conditionalFormatting>
  <conditionalFormatting sqref="B77">
    <cfRule type="duplicateValues" dxfId="315" priority="6"/>
    <cfRule type="duplicateValues" dxfId="314" priority="13"/>
    <cfRule type="duplicateValues" dxfId="313" priority="20"/>
    <cfRule type="duplicateValues" dxfId="312" priority="27"/>
    <cfRule type="duplicateValues" dxfId="311" priority="34"/>
  </conditionalFormatting>
  <conditionalFormatting sqref="B78">
    <cfRule type="duplicateValues" dxfId="310" priority="5"/>
    <cfRule type="duplicateValues" dxfId="309" priority="12"/>
    <cfRule type="duplicateValues" dxfId="308" priority="19"/>
    <cfRule type="duplicateValues" dxfId="307" priority="26"/>
    <cfRule type="duplicateValues" dxfId="306" priority="33"/>
  </conditionalFormatting>
  <conditionalFormatting sqref="B79">
    <cfRule type="duplicateValues" dxfId="305" priority="4"/>
    <cfRule type="duplicateValues" dxfId="304" priority="11"/>
    <cfRule type="duplicateValues" dxfId="303" priority="18"/>
    <cfRule type="duplicateValues" dxfId="302" priority="25"/>
    <cfRule type="duplicateValues" dxfId="301" priority="32"/>
  </conditionalFormatting>
  <conditionalFormatting sqref="B80">
    <cfRule type="duplicateValues" dxfId="300" priority="3"/>
    <cfRule type="duplicateValues" dxfId="299" priority="10"/>
    <cfRule type="duplicateValues" dxfId="298" priority="17"/>
    <cfRule type="duplicateValues" dxfId="297" priority="24"/>
    <cfRule type="duplicateValues" dxfId="296" priority="31"/>
  </conditionalFormatting>
  <conditionalFormatting sqref="B81">
    <cfRule type="duplicateValues" dxfId="295" priority="2"/>
    <cfRule type="duplicateValues" dxfId="294" priority="9"/>
    <cfRule type="duplicateValues" dxfId="293" priority="16"/>
    <cfRule type="duplicateValues" dxfId="292" priority="23"/>
    <cfRule type="duplicateValues" dxfId="291" priority="30"/>
  </conditionalFormatting>
  <conditionalFormatting sqref="B82">
    <cfRule type="duplicateValues" dxfId="290" priority="1"/>
    <cfRule type="duplicateValues" dxfId="289" priority="8"/>
    <cfRule type="duplicateValues" dxfId="288" priority="15"/>
    <cfRule type="duplicateValues" dxfId="287" priority="22"/>
    <cfRule type="duplicateValues" dxfId="286" priority="29"/>
  </conditionalFormatting>
  <conditionalFormatting sqref="C2:C3">
    <cfRule type="duplicateValues" dxfId="285" priority="187"/>
  </conditionalFormatting>
  <conditionalFormatting sqref="C15">
    <cfRule type="duplicateValues" dxfId="284" priority="162"/>
  </conditionalFormatting>
  <conditionalFormatting sqref="C33">
    <cfRule type="duplicateValues" dxfId="283" priority="133"/>
  </conditionalFormatting>
  <conditionalFormatting sqref="C55">
    <cfRule type="duplicateValues" dxfId="282" priority="78"/>
  </conditionalFormatting>
  <conditionalFormatting sqref="C71">
    <cfRule type="duplicateValues" dxfId="281" priority="49"/>
  </conditionalFormatting>
  <conditionalFormatting sqref="C73">
    <cfRule type="duplicateValues" dxfId="280" priority="43"/>
  </conditionalFormatting>
  <conditionalFormatting sqref="C74">
    <cfRule type="duplicateValues" dxfId="279" priority="42"/>
  </conditionalFormatting>
  <conditionalFormatting sqref="C75">
    <cfRule type="duplicateValues" dxfId="278" priority="57"/>
  </conditionalFormatting>
  <conditionalFormatting sqref="B69:B75">
    <cfRule type="duplicateValues" dxfId="277" priority="268"/>
  </conditionalFormatting>
  <conditionalFormatting sqref="B72 B75">
    <cfRule type="duplicateValues" dxfId="276" priority="269"/>
  </conditionalFormatting>
  <conditionalFormatting sqref="B72">
    <cfRule type="duplicateValues" dxfId="275" priority="271"/>
    <cfRule type="duplicateValues" dxfId="274" priority="272"/>
  </conditionalFormatting>
  <conditionalFormatting sqref="B63 B65:B68">
    <cfRule type="duplicateValues" dxfId="273" priority="273"/>
  </conditionalFormatting>
  <conditionalFormatting sqref="B63:B68">
    <cfRule type="duplicateValues" dxfId="272" priority="275"/>
  </conditionalFormatting>
  <conditionalFormatting sqref="B65:B68">
    <cfRule type="duplicateValues" dxfId="271" priority="276"/>
  </conditionalFormatting>
  <conditionalFormatting sqref="B49:B52">
    <cfRule type="duplicateValues" dxfId="270" priority="279"/>
  </conditionalFormatting>
  <conditionalFormatting sqref="B49:B54">
    <cfRule type="duplicateValues" dxfId="269" priority="280"/>
  </conditionalFormatting>
  <conditionalFormatting sqref="B43:B48">
    <cfRule type="duplicateValues" dxfId="268" priority="283"/>
  </conditionalFormatting>
  <conditionalFormatting sqref="B45">
    <cfRule type="duplicateValues" dxfId="267" priority="284"/>
    <cfRule type="duplicateValues" dxfId="266" priority="285"/>
  </conditionalFormatting>
  <conditionalFormatting sqref="B34:B35 B13:B29">
    <cfRule type="duplicateValues" dxfId="265" priority="288"/>
  </conditionalFormatting>
  <conditionalFormatting sqref="B35">
    <cfRule type="duplicateValues" dxfId="264" priority="294"/>
  </conditionalFormatting>
  <conditionalFormatting sqref="B18 B20:B21">
    <cfRule type="duplicateValues" dxfId="263" priority="295"/>
    <cfRule type="duplicateValues" dxfId="262" priority="296"/>
  </conditionalFormatting>
  <conditionalFormatting sqref="B21">
    <cfRule type="duplicateValues" dxfId="261" priority="301"/>
  </conditionalFormatting>
  <conditionalFormatting sqref="B22">
    <cfRule type="duplicateValues" dxfId="260" priority="319"/>
  </conditionalFormatting>
  <conditionalFormatting sqref="B8:B12">
    <cfRule type="duplicateValues" dxfId="259" priority="322"/>
    <cfRule type="duplicateValues" dxfId="258" priority="323"/>
  </conditionalFormatting>
  <conditionalFormatting sqref="B9:B12">
    <cfRule type="duplicateValues" dxfId="257" priority="324"/>
  </conditionalFormatting>
  <conditionalFormatting sqref="B2:B7">
    <cfRule type="duplicateValues" dxfId="256" priority="327"/>
  </conditionalFormatting>
  <conditionalFormatting sqref="B4:B7">
    <cfRule type="duplicateValues" dxfId="255" priority="328"/>
  </conditionalFormatting>
  <conditionalFormatting sqref="B83">
    <cfRule type="duplicateValues" dxfId="254" priority="335"/>
    <cfRule type="timePeriod" dxfId="253" priority="336" timePeriod="yesterday">
      <formula>FLOOR(B83,1)=TODAY()-1</formula>
    </cfRule>
    <cfRule type="duplicateValues" dxfId="252" priority="337"/>
    <cfRule type="duplicateValues" dxfId="251" priority="338"/>
    <cfRule type="duplicateValues" dxfId="250" priority="339"/>
    <cfRule type="duplicateValues" dxfId="249" priority="34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L116"/>
  <sheetViews>
    <sheetView topLeftCell="A99" workbookViewId="0">
      <selection activeCell="B115" sqref="B115"/>
    </sheetView>
  </sheetViews>
  <sheetFormatPr defaultColWidth="9" defaultRowHeight="14.4" x14ac:dyDescent="0.25"/>
  <cols>
    <col min="1" max="1" width="24.88671875" style="4" customWidth="1"/>
    <col min="2" max="2" width="18.44140625" style="4" customWidth="1"/>
    <col min="3" max="3" width="29.5546875" style="4" customWidth="1"/>
    <col min="4" max="4" width="16.77734375" style="4" customWidth="1"/>
    <col min="5" max="16359" width="9" style="4"/>
  </cols>
  <sheetData>
    <row r="1" spans="1:16365" s="1" customFormat="1" ht="39" customHeight="1" x14ac:dyDescent="0.25">
      <c r="A1" s="5" t="s">
        <v>0</v>
      </c>
      <c r="B1" s="6" t="s">
        <v>1</v>
      </c>
      <c r="C1" s="7" t="s">
        <v>2</v>
      </c>
      <c r="D1" s="8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</row>
    <row r="2" spans="1:16365" s="2" customFormat="1" ht="18" customHeight="1" x14ac:dyDescent="0.25">
      <c r="A2" s="39">
        <v>201</v>
      </c>
      <c r="B2" s="10" t="s">
        <v>4</v>
      </c>
      <c r="C2" s="11" t="s">
        <v>5</v>
      </c>
      <c r="D2" s="12">
        <v>6.25E-2</v>
      </c>
    </row>
    <row r="3" spans="1:16365" s="2" customFormat="1" ht="18" customHeight="1" x14ac:dyDescent="0.25">
      <c r="A3" s="40"/>
      <c r="B3" s="10" t="s">
        <v>6</v>
      </c>
      <c r="C3" s="11" t="s">
        <v>7</v>
      </c>
      <c r="D3" s="12">
        <v>7.6388888888888895E-2</v>
      </c>
    </row>
    <row r="4" spans="1:16365" s="2" customFormat="1" ht="18" customHeight="1" x14ac:dyDescent="0.25">
      <c r="A4" s="40"/>
      <c r="B4" s="10" t="s">
        <v>8</v>
      </c>
      <c r="C4" s="11" t="s">
        <v>9</v>
      </c>
      <c r="D4" s="12">
        <v>9.7222222222222196E-2</v>
      </c>
    </row>
    <row r="5" spans="1:16365" s="3" customFormat="1" ht="18" customHeight="1" x14ac:dyDescent="0.25">
      <c r="A5" s="40"/>
      <c r="B5" s="10" t="s">
        <v>10</v>
      </c>
      <c r="C5" s="11" t="s">
        <v>11</v>
      </c>
      <c r="D5" s="12">
        <v>0.118055555555556</v>
      </c>
    </row>
    <row r="6" spans="1:16365" s="2" customFormat="1" ht="18" customHeight="1" x14ac:dyDescent="0.25">
      <c r="A6" s="40"/>
      <c r="B6" s="10" t="s">
        <v>12</v>
      </c>
      <c r="C6" s="11" t="s">
        <v>13</v>
      </c>
      <c r="D6" s="12">
        <v>0.14583333333333301</v>
      </c>
    </row>
    <row r="7" spans="1:16365" s="2" customFormat="1" ht="18" customHeight="1" x14ac:dyDescent="0.25">
      <c r="A7" s="40"/>
      <c r="B7" s="10" t="s">
        <v>14</v>
      </c>
      <c r="C7" s="11" t="s">
        <v>15</v>
      </c>
      <c r="D7" s="12">
        <v>0.16666666666666699</v>
      </c>
    </row>
    <row r="8" spans="1:16365" s="2" customFormat="1" ht="18" customHeight="1" x14ac:dyDescent="0.25">
      <c r="A8" s="40"/>
      <c r="B8" s="10" t="s">
        <v>16</v>
      </c>
      <c r="C8" s="11" t="s">
        <v>17</v>
      </c>
      <c r="D8" s="12">
        <v>0.1875</v>
      </c>
    </row>
    <row r="9" spans="1:16365" s="2" customFormat="1" ht="18" customHeight="1" x14ac:dyDescent="0.25">
      <c r="A9" s="40"/>
      <c r="B9" s="10" t="s">
        <v>18</v>
      </c>
      <c r="C9" s="11" t="s">
        <v>19</v>
      </c>
      <c r="D9" s="12">
        <v>0.22916666666666699</v>
      </c>
    </row>
    <row r="10" spans="1:16365" s="2" customFormat="1" ht="18" customHeight="1" x14ac:dyDescent="0.25">
      <c r="A10" s="39">
        <v>202</v>
      </c>
      <c r="B10" s="10" t="s">
        <v>30</v>
      </c>
      <c r="C10" s="11" t="s">
        <v>31</v>
      </c>
      <c r="D10" s="12">
        <v>6.25E-2</v>
      </c>
    </row>
    <row r="11" spans="1:16365" s="2" customFormat="1" ht="18" customHeight="1" x14ac:dyDescent="0.25">
      <c r="A11" s="40"/>
      <c r="B11" s="10" t="s">
        <v>20</v>
      </c>
      <c r="C11" s="11" t="s">
        <v>21</v>
      </c>
      <c r="D11" s="12">
        <v>8.3333333333333301E-2</v>
      </c>
    </row>
    <row r="12" spans="1:16365" s="2" customFormat="1" ht="18" customHeight="1" x14ac:dyDescent="0.25">
      <c r="A12" s="40"/>
      <c r="B12" s="10" t="s">
        <v>22</v>
      </c>
      <c r="C12" s="11" t="s">
        <v>23</v>
      </c>
      <c r="D12" s="12">
        <v>0.104166666666667</v>
      </c>
    </row>
    <row r="13" spans="1:16365" s="2" customFormat="1" ht="18" customHeight="1" x14ac:dyDescent="0.25">
      <c r="A13" s="40"/>
      <c r="B13" s="10" t="s">
        <v>24</v>
      </c>
      <c r="C13" s="11" t="s">
        <v>25</v>
      </c>
      <c r="D13" s="12">
        <v>0.125</v>
      </c>
    </row>
    <row r="14" spans="1:16365" s="2" customFormat="1" ht="18" customHeight="1" x14ac:dyDescent="0.25">
      <c r="A14" s="40"/>
      <c r="B14" s="10" t="s">
        <v>26</v>
      </c>
      <c r="C14" s="11" t="s">
        <v>27</v>
      </c>
      <c r="D14" s="12">
        <v>0.14583333333333301</v>
      </c>
    </row>
    <row r="15" spans="1:16365" s="2" customFormat="1" ht="18" customHeight="1" x14ac:dyDescent="0.25">
      <c r="A15" s="40"/>
      <c r="B15" s="10" t="s">
        <v>28</v>
      </c>
      <c r="C15" s="11" t="s">
        <v>29</v>
      </c>
      <c r="D15" s="12">
        <v>0.16666666666666699</v>
      </c>
    </row>
    <row r="16" spans="1:16365" s="2" customFormat="1" ht="18" customHeight="1" x14ac:dyDescent="0.25">
      <c r="A16" s="40"/>
      <c r="B16" s="10" t="s">
        <v>32</v>
      </c>
      <c r="C16" s="11" t="s">
        <v>33</v>
      </c>
      <c r="D16" s="12">
        <v>0.20833333333333301</v>
      </c>
    </row>
    <row r="17" spans="1:4" s="2" customFormat="1" ht="18" customHeight="1" x14ac:dyDescent="0.25">
      <c r="A17" s="40"/>
      <c r="B17" s="10" t="s">
        <v>34</v>
      </c>
      <c r="C17" s="11" t="s">
        <v>35</v>
      </c>
      <c r="D17" s="12">
        <v>0.22916666666666699</v>
      </c>
    </row>
    <row r="18" spans="1:4" s="2" customFormat="1" ht="18" customHeight="1" x14ac:dyDescent="0.25">
      <c r="A18" s="39">
        <v>203</v>
      </c>
      <c r="B18" s="10" t="s">
        <v>38</v>
      </c>
      <c r="C18" s="11" t="s">
        <v>39</v>
      </c>
      <c r="D18" s="12">
        <v>6.25E-2</v>
      </c>
    </row>
    <row r="19" spans="1:4" s="2" customFormat="1" ht="18" customHeight="1" x14ac:dyDescent="0.25">
      <c r="A19" s="39"/>
      <c r="B19" s="10" t="s">
        <v>56</v>
      </c>
      <c r="C19" s="11" t="s">
        <v>57</v>
      </c>
      <c r="D19" s="12">
        <v>9.375E-2</v>
      </c>
    </row>
    <row r="20" spans="1:4" s="2" customFormat="1" ht="18" customHeight="1" x14ac:dyDescent="0.25">
      <c r="A20" s="39"/>
      <c r="B20" s="10" t="s">
        <v>40</v>
      </c>
      <c r="C20" s="11" t="s">
        <v>41</v>
      </c>
      <c r="D20" s="12">
        <v>0.125</v>
      </c>
    </row>
    <row r="21" spans="1:4" s="2" customFormat="1" ht="18" customHeight="1" x14ac:dyDescent="0.25">
      <c r="A21" s="39"/>
      <c r="B21" s="10" t="s">
        <v>42</v>
      </c>
      <c r="C21" s="11" t="s">
        <v>43</v>
      </c>
      <c r="D21" s="12">
        <v>0.15277777777777801</v>
      </c>
    </row>
    <row r="22" spans="1:4" s="2" customFormat="1" ht="18" customHeight="1" x14ac:dyDescent="0.25">
      <c r="A22" s="39"/>
      <c r="B22" s="10" t="s">
        <v>44</v>
      </c>
      <c r="C22" s="11" t="s">
        <v>45</v>
      </c>
      <c r="D22" s="12">
        <v>0.180555555555556</v>
      </c>
    </row>
    <row r="23" spans="1:4" s="2" customFormat="1" ht="18" customHeight="1" x14ac:dyDescent="0.25">
      <c r="A23" s="39"/>
      <c r="B23" s="10" t="s">
        <v>36</v>
      </c>
      <c r="C23" s="11" t="s">
        <v>37</v>
      </c>
      <c r="D23" s="12">
        <v>0.20138888888888901</v>
      </c>
    </row>
    <row r="24" spans="1:4" s="2" customFormat="1" ht="18" customHeight="1" x14ac:dyDescent="0.25">
      <c r="A24" s="39"/>
      <c r="B24" s="10" t="s">
        <v>48</v>
      </c>
      <c r="C24" s="11" t="s">
        <v>49</v>
      </c>
      <c r="D24" s="12">
        <v>0.21875</v>
      </c>
    </row>
    <row r="25" spans="1:4" s="2" customFormat="1" ht="18" customHeight="1" x14ac:dyDescent="0.25">
      <c r="A25" s="39"/>
      <c r="B25" s="10" t="s">
        <v>50</v>
      </c>
      <c r="C25" s="11" t="s">
        <v>51</v>
      </c>
      <c r="D25" s="12">
        <v>0.22916666666666699</v>
      </c>
    </row>
    <row r="26" spans="1:4" s="2" customFormat="1" ht="18" customHeight="1" x14ac:dyDescent="0.25">
      <c r="A26" s="39"/>
      <c r="B26" s="10" t="s">
        <v>52</v>
      </c>
      <c r="C26" s="11" t="s">
        <v>53</v>
      </c>
      <c r="D26" s="12">
        <v>0.25</v>
      </c>
    </row>
    <row r="27" spans="1:4" s="2" customFormat="1" ht="18" customHeight="1" x14ac:dyDescent="0.25">
      <c r="A27" s="32">
        <v>205</v>
      </c>
      <c r="B27" s="14" t="s">
        <v>231</v>
      </c>
      <c r="C27" s="15" t="s">
        <v>232</v>
      </c>
      <c r="D27" s="12">
        <v>6.25E-2</v>
      </c>
    </row>
    <row r="28" spans="1:4" s="2" customFormat="1" ht="18" customHeight="1" x14ac:dyDescent="0.25">
      <c r="A28" s="36"/>
      <c r="B28" s="10" t="s">
        <v>233</v>
      </c>
      <c r="C28" s="11" t="s">
        <v>234</v>
      </c>
      <c r="D28" s="12">
        <v>8.3333333333333301E-2</v>
      </c>
    </row>
    <row r="29" spans="1:4" s="2" customFormat="1" ht="18" customHeight="1" x14ac:dyDescent="0.25">
      <c r="A29" s="36"/>
      <c r="B29" s="10" t="s">
        <v>235</v>
      </c>
      <c r="C29" s="11" t="s">
        <v>236</v>
      </c>
      <c r="D29" s="12">
        <v>0.13888888888888901</v>
      </c>
    </row>
    <row r="30" spans="1:4" s="2" customFormat="1" ht="18" customHeight="1" x14ac:dyDescent="0.25">
      <c r="A30" s="36"/>
      <c r="B30" s="10" t="s">
        <v>237</v>
      </c>
      <c r="C30" s="11" t="s">
        <v>238</v>
      </c>
      <c r="D30" s="12">
        <v>0.15277777777777801</v>
      </c>
    </row>
    <row r="31" spans="1:4" s="2" customFormat="1" ht="18" customHeight="1" x14ac:dyDescent="0.25">
      <c r="A31" s="36"/>
      <c r="B31" s="10" t="s">
        <v>239</v>
      </c>
      <c r="C31" s="11" t="s">
        <v>240</v>
      </c>
      <c r="D31" s="12">
        <v>0.16666666666666699</v>
      </c>
    </row>
    <row r="32" spans="1:4" s="2" customFormat="1" ht="18" customHeight="1" x14ac:dyDescent="0.25">
      <c r="A32" s="36"/>
      <c r="B32" s="10" t="s">
        <v>241</v>
      </c>
      <c r="C32" s="11" t="s">
        <v>242</v>
      </c>
      <c r="D32" s="12">
        <v>0.1875</v>
      </c>
    </row>
    <row r="33" spans="1:4" s="2" customFormat="1" ht="18" customHeight="1" x14ac:dyDescent="0.25">
      <c r="A33" s="37"/>
      <c r="B33" s="10" t="s">
        <v>243</v>
      </c>
      <c r="C33" s="11" t="s">
        <v>244</v>
      </c>
      <c r="D33" s="12">
        <v>0.20833333333333301</v>
      </c>
    </row>
    <row r="34" spans="1:4" s="2" customFormat="1" ht="18" customHeight="1" x14ac:dyDescent="0.25">
      <c r="A34" s="39">
        <v>207</v>
      </c>
      <c r="B34" s="10" t="s">
        <v>54</v>
      </c>
      <c r="C34" s="11" t="s">
        <v>55</v>
      </c>
      <c r="D34" s="12">
        <v>6.25E-2</v>
      </c>
    </row>
    <row r="35" spans="1:4" s="2" customFormat="1" ht="18" customHeight="1" x14ac:dyDescent="0.25">
      <c r="A35" s="40"/>
      <c r="B35" s="10" t="s">
        <v>46</v>
      </c>
      <c r="C35" s="11" t="s">
        <v>47</v>
      </c>
      <c r="D35" s="12">
        <v>9.0277777777777804E-2</v>
      </c>
    </row>
    <row r="36" spans="1:4" s="2" customFormat="1" ht="18" customHeight="1" x14ac:dyDescent="0.25">
      <c r="A36" s="40"/>
      <c r="B36" s="17" t="s">
        <v>64</v>
      </c>
      <c r="C36" s="11" t="s">
        <v>65</v>
      </c>
      <c r="D36" s="12">
        <v>0.104166666666667</v>
      </c>
    </row>
    <row r="37" spans="1:4" s="2" customFormat="1" ht="18" customHeight="1" x14ac:dyDescent="0.25">
      <c r="A37" s="40"/>
      <c r="B37" s="10" t="s">
        <v>58</v>
      </c>
      <c r="C37" s="11" t="s">
        <v>59</v>
      </c>
      <c r="D37" s="12">
        <v>0.125</v>
      </c>
    </row>
    <row r="38" spans="1:4" s="2" customFormat="1" ht="18" customHeight="1" x14ac:dyDescent="0.25">
      <c r="A38" s="40"/>
      <c r="B38" s="10" t="s">
        <v>60</v>
      </c>
      <c r="C38" s="11" t="s">
        <v>61</v>
      </c>
      <c r="D38" s="12">
        <v>0.13888888888888901</v>
      </c>
    </row>
    <row r="39" spans="1:4" s="2" customFormat="1" ht="18" customHeight="1" x14ac:dyDescent="0.25">
      <c r="A39" s="40"/>
      <c r="B39" s="10" t="s">
        <v>62</v>
      </c>
      <c r="C39" s="11" t="s">
        <v>63</v>
      </c>
      <c r="D39" s="12">
        <v>0.16666666666666699</v>
      </c>
    </row>
    <row r="40" spans="1:4" s="2" customFormat="1" ht="18" customHeight="1" x14ac:dyDescent="0.25">
      <c r="A40" s="40"/>
      <c r="B40" s="10" t="s">
        <v>70</v>
      </c>
      <c r="C40" s="11" t="s">
        <v>71</v>
      </c>
      <c r="D40" s="12">
        <v>0.20138888888888901</v>
      </c>
    </row>
    <row r="41" spans="1:4" s="2" customFormat="1" ht="18" customHeight="1" x14ac:dyDescent="0.25">
      <c r="A41" s="40"/>
      <c r="B41" s="10" t="s">
        <v>66</v>
      </c>
      <c r="C41" s="11" t="s">
        <v>67</v>
      </c>
      <c r="D41" s="12">
        <v>0.25</v>
      </c>
    </row>
    <row r="42" spans="1:4" s="2" customFormat="1" ht="18" customHeight="1" x14ac:dyDescent="0.25">
      <c r="A42" s="40"/>
      <c r="B42" s="10" t="s">
        <v>68</v>
      </c>
      <c r="C42" s="11" t="s">
        <v>69</v>
      </c>
      <c r="D42" s="18">
        <v>0.25</v>
      </c>
    </row>
    <row r="43" spans="1:4" s="2" customFormat="1" ht="18" customHeight="1" x14ac:dyDescent="0.25">
      <c r="A43" s="32">
        <v>208</v>
      </c>
      <c r="B43" s="10" t="s">
        <v>84</v>
      </c>
      <c r="C43" s="11" t="s">
        <v>85</v>
      </c>
      <c r="D43" s="18">
        <v>7.6388888888888895E-2</v>
      </c>
    </row>
    <row r="44" spans="1:4" s="2" customFormat="1" ht="18" customHeight="1" x14ac:dyDescent="0.25">
      <c r="A44" s="33"/>
      <c r="B44" s="10" t="s">
        <v>82</v>
      </c>
      <c r="C44" s="11" t="s">
        <v>83</v>
      </c>
      <c r="D44" s="18">
        <v>9.7222222222222196E-2</v>
      </c>
    </row>
    <row r="45" spans="1:4" s="2" customFormat="1" ht="18" customHeight="1" x14ac:dyDescent="0.25">
      <c r="A45" s="33"/>
      <c r="B45" s="10" t="s">
        <v>78</v>
      </c>
      <c r="C45" s="11" t="s">
        <v>79</v>
      </c>
      <c r="D45" s="18">
        <v>0.118055555555556</v>
      </c>
    </row>
    <row r="46" spans="1:4" s="2" customFormat="1" ht="18" customHeight="1" x14ac:dyDescent="0.25">
      <c r="A46" s="33"/>
      <c r="B46" s="10" t="s">
        <v>80</v>
      </c>
      <c r="C46" s="11" t="s">
        <v>81</v>
      </c>
      <c r="D46" s="18">
        <v>0.131944444444444</v>
      </c>
    </row>
    <row r="47" spans="1:4" s="2" customFormat="1" ht="18" customHeight="1" x14ac:dyDescent="0.25">
      <c r="A47" s="33"/>
      <c r="B47" s="10" t="s">
        <v>76</v>
      </c>
      <c r="C47" s="11" t="s">
        <v>77</v>
      </c>
      <c r="D47" s="18">
        <v>0.15277777777777801</v>
      </c>
    </row>
    <row r="48" spans="1:4" s="2" customFormat="1" ht="18" customHeight="1" x14ac:dyDescent="0.25">
      <c r="A48" s="33"/>
      <c r="B48" s="10" t="s">
        <v>74</v>
      </c>
      <c r="C48" s="11" t="s">
        <v>75</v>
      </c>
      <c r="D48" s="18">
        <v>0.16666666666666699</v>
      </c>
    </row>
    <row r="49" spans="1:4" s="2" customFormat="1" ht="18" customHeight="1" x14ac:dyDescent="0.25">
      <c r="A49" s="33"/>
      <c r="B49" s="10" t="s">
        <v>72</v>
      </c>
      <c r="C49" s="19" t="s">
        <v>73</v>
      </c>
      <c r="D49" s="18">
        <v>0.1875</v>
      </c>
    </row>
    <row r="50" spans="1:4" s="2" customFormat="1" ht="18" customHeight="1" x14ac:dyDescent="0.25">
      <c r="A50" s="34"/>
      <c r="B50" s="10" t="s">
        <v>86</v>
      </c>
      <c r="C50" s="11" t="s">
        <v>87</v>
      </c>
      <c r="D50" s="18">
        <v>0.22916666666666699</v>
      </c>
    </row>
    <row r="51" spans="1:4" s="2" customFormat="1" ht="18" customHeight="1" x14ac:dyDescent="0.25">
      <c r="A51" s="39">
        <v>209</v>
      </c>
      <c r="B51" s="10" t="s">
        <v>89</v>
      </c>
      <c r="C51" s="11" t="s">
        <v>90</v>
      </c>
      <c r="D51" s="18">
        <v>6.25E-2</v>
      </c>
    </row>
    <row r="52" spans="1:4" s="2" customFormat="1" ht="18" customHeight="1" x14ac:dyDescent="0.25">
      <c r="A52" s="40"/>
      <c r="B52" s="10" t="s">
        <v>91</v>
      </c>
      <c r="C52" s="11" t="s">
        <v>92</v>
      </c>
      <c r="D52" s="18">
        <v>9.7222222222222196E-2</v>
      </c>
    </row>
    <row r="53" spans="1:4" s="2" customFormat="1" ht="18" customHeight="1" x14ac:dyDescent="0.25">
      <c r="A53" s="40"/>
      <c r="B53" s="10" t="s">
        <v>93</v>
      </c>
      <c r="C53" s="11" t="s">
        <v>94</v>
      </c>
      <c r="D53" s="18">
        <v>0.11111111111111099</v>
      </c>
    </row>
    <row r="54" spans="1:4" s="2" customFormat="1" ht="18" customHeight="1" x14ac:dyDescent="0.25">
      <c r="A54" s="40"/>
      <c r="B54" s="10" t="s">
        <v>95</v>
      </c>
      <c r="C54" s="11" t="s">
        <v>96</v>
      </c>
      <c r="D54" s="18">
        <v>0.131944444444444</v>
      </c>
    </row>
    <row r="55" spans="1:4" s="2" customFormat="1" ht="18" customHeight="1" x14ac:dyDescent="0.25">
      <c r="A55" s="40"/>
      <c r="B55" s="10" t="s">
        <v>97</v>
      </c>
      <c r="C55" s="11" t="s">
        <v>98</v>
      </c>
      <c r="D55" s="18">
        <v>0.16666666666666699</v>
      </c>
    </row>
    <row r="56" spans="1:4" s="2" customFormat="1" ht="18" customHeight="1" x14ac:dyDescent="0.25">
      <c r="A56" s="40"/>
      <c r="B56" s="10" t="s">
        <v>99</v>
      </c>
      <c r="C56" s="11" t="s">
        <v>100</v>
      </c>
      <c r="D56" s="18">
        <v>0.180555555555556</v>
      </c>
    </row>
    <row r="57" spans="1:4" s="2" customFormat="1" ht="18" customHeight="1" x14ac:dyDescent="0.25">
      <c r="A57" s="40"/>
      <c r="B57" s="10" t="s">
        <v>101</v>
      </c>
      <c r="C57" s="11" t="s">
        <v>102</v>
      </c>
      <c r="D57" s="18">
        <v>0.20138888888888901</v>
      </c>
    </row>
    <row r="58" spans="1:4" s="2" customFormat="1" ht="18" customHeight="1" x14ac:dyDescent="0.25">
      <c r="A58" s="40"/>
      <c r="B58" s="10" t="s">
        <v>103</v>
      </c>
      <c r="C58" s="11" t="s">
        <v>104</v>
      </c>
      <c r="D58" s="18">
        <v>0.22916666666666699</v>
      </c>
    </row>
    <row r="59" spans="1:4" s="2" customFormat="1" ht="18" customHeight="1" x14ac:dyDescent="0.25">
      <c r="A59" s="39">
        <v>210</v>
      </c>
      <c r="B59" s="10" t="s">
        <v>118</v>
      </c>
      <c r="C59" s="11" t="s">
        <v>119</v>
      </c>
      <c r="D59" s="18">
        <v>6.25E-2</v>
      </c>
    </row>
    <row r="60" spans="1:4" s="2" customFormat="1" ht="18" customHeight="1" x14ac:dyDescent="0.25">
      <c r="A60" s="40"/>
      <c r="B60" s="10" t="s">
        <v>116</v>
      </c>
      <c r="C60" s="11" t="s">
        <v>117</v>
      </c>
      <c r="D60" s="18">
        <v>8.3333333333333301E-2</v>
      </c>
    </row>
    <row r="61" spans="1:4" s="2" customFormat="1" ht="18" customHeight="1" x14ac:dyDescent="0.25">
      <c r="A61" s="40"/>
      <c r="B61" s="10" t="s">
        <v>120</v>
      </c>
      <c r="C61" s="11" t="s">
        <v>121</v>
      </c>
      <c r="D61" s="18">
        <v>0.104166666666667</v>
      </c>
    </row>
    <row r="62" spans="1:4" s="2" customFormat="1" ht="18" customHeight="1" x14ac:dyDescent="0.25">
      <c r="A62" s="40"/>
      <c r="B62" s="10" t="s">
        <v>114</v>
      </c>
      <c r="C62" s="11" t="s">
        <v>115</v>
      </c>
      <c r="D62" s="18">
        <v>0.125</v>
      </c>
    </row>
    <row r="63" spans="1:4" s="2" customFormat="1" ht="18" customHeight="1" x14ac:dyDescent="0.25">
      <c r="A63" s="40"/>
      <c r="B63" s="10" t="s">
        <v>112</v>
      </c>
      <c r="C63" s="11" t="s">
        <v>113</v>
      </c>
      <c r="D63" s="18">
        <v>0.14583333333333301</v>
      </c>
    </row>
    <row r="64" spans="1:4" s="2" customFormat="1" ht="18" customHeight="1" x14ac:dyDescent="0.25">
      <c r="A64" s="40"/>
      <c r="B64" s="10" t="s">
        <v>110</v>
      </c>
      <c r="C64" s="11" t="s">
        <v>111</v>
      </c>
      <c r="D64" s="18">
        <v>0.16666666666666699</v>
      </c>
    </row>
    <row r="65" spans="1:4" s="2" customFormat="1" ht="18" customHeight="1" x14ac:dyDescent="0.25">
      <c r="A65" s="40"/>
      <c r="B65" s="10" t="s">
        <v>108</v>
      </c>
      <c r="C65" s="11" t="s">
        <v>109</v>
      </c>
      <c r="D65" s="18">
        <v>0.1875</v>
      </c>
    </row>
    <row r="66" spans="1:4" s="2" customFormat="1" ht="18" customHeight="1" x14ac:dyDescent="0.25">
      <c r="A66" s="40"/>
      <c r="B66" s="10" t="s">
        <v>106</v>
      </c>
      <c r="C66" s="11" t="s">
        <v>107</v>
      </c>
      <c r="D66" s="18">
        <v>0.22916666666666699</v>
      </c>
    </row>
    <row r="67" spans="1:4" s="2" customFormat="1" ht="18" customHeight="1" x14ac:dyDescent="0.25">
      <c r="A67" s="39">
        <v>211</v>
      </c>
      <c r="B67" s="10" t="s">
        <v>123</v>
      </c>
      <c r="C67" s="11" t="s">
        <v>124</v>
      </c>
      <c r="D67" s="18">
        <v>7.6388888888888895E-2</v>
      </c>
    </row>
    <row r="68" spans="1:4" s="2" customFormat="1" ht="18" customHeight="1" x14ac:dyDescent="0.25">
      <c r="A68" s="40"/>
      <c r="B68" s="10" t="s">
        <v>125</v>
      </c>
      <c r="C68" s="11" t="s">
        <v>126</v>
      </c>
      <c r="D68" s="18">
        <v>9.375E-2</v>
      </c>
    </row>
    <row r="69" spans="1:4" s="2" customFormat="1" ht="18" customHeight="1" x14ac:dyDescent="0.25">
      <c r="A69" s="40"/>
      <c r="B69" s="10" t="s">
        <v>129</v>
      </c>
      <c r="C69" s="11" t="s">
        <v>130</v>
      </c>
      <c r="D69" s="18">
        <v>0.11111111111111099</v>
      </c>
    </row>
    <row r="70" spans="1:4" s="2" customFormat="1" ht="18" customHeight="1" x14ac:dyDescent="0.25">
      <c r="A70" s="40"/>
      <c r="B70" s="10" t="s">
        <v>131</v>
      </c>
      <c r="C70" s="11" t="s">
        <v>132</v>
      </c>
      <c r="D70" s="18">
        <v>0.125</v>
      </c>
    </row>
    <row r="71" spans="1:4" s="2" customFormat="1" ht="18" customHeight="1" x14ac:dyDescent="0.25">
      <c r="A71" s="40"/>
      <c r="B71" s="10" t="s">
        <v>133</v>
      </c>
      <c r="C71" s="11" t="s">
        <v>134</v>
      </c>
      <c r="D71" s="18">
        <v>0.14583333333333301</v>
      </c>
    </row>
    <row r="72" spans="1:4" s="2" customFormat="1" ht="18" customHeight="1" x14ac:dyDescent="0.25">
      <c r="A72" s="40"/>
      <c r="B72" s="10" t="s">
        <v>127</v>
      </c>
      <c r="C72" s="20" t="s">
        <v>128</v>
      </c>
      <c r="D72" s="18">
        <v>0.16666666666666699</v>
      </c>
    </row>
    <row r="73" spans="1:4" s="2" customFormat="1" ht="18" customHeight="1" x14ac:dyDescent="0.25">
      <c r="A73" s="40"/>
      <c r="B73" s="10" t="s">
        <v>135</v>
      </c>
      <c r="C73" s="11" t="s">
        <v>136</v>
      </c>
      <c r="D73" s="18">
        <v>0.22916666666666699</v>
      </c>
    </row>
    <row r="74" spans="1:4" s="2" customFormat="1" ht="18" customHeight="1" x14ac:dyDescent="0.25">
      <c r="A74" s="39">
        <v>212</v>
      </c>
      <c r="B74" s="10" t="s">
        <v>151</v>
      </c>
      <c r="C74" s="11" t="s">
        <v>152</v>
      </c>
      <c r="D74" s="18">
        <v>4.1666666666666699E-2</v>
      </c>
    </row>
    <row r="75" spans="1:4" s="2" customFormat="1" ht="18" customHeight="1" x14ac:dyDescent="0.25">
      <c r="A75" s="39"/>
      <c r="B75" s="10" t="s">
        <v>137</v>
      </c>
      <c r="C75" s="11" t="s">
        <v>138</v>
      </c>
      <c r="D75" s="18">
        <v>6.25E-2</v>
      </c>
    </row>
    <row r="76" spans="1:4" s="2" customFormat="1" ht="18" customHeight="1" x14ac:dyDescent="0.25">
      <c r="A76" s="39"/>
      <c r="B76" s="10" t="s">
        <v>139</v>
      </c>
      <c r="C76" s="11" t="s">
        <v>140</v>
      </c>
      <c r="D76" s="18">
        <v>8.3333333333333301E-2</v>
      </c>
    </row>
    <row r="77" spans="1:4" s="2" customFormat="1" ht="18" customHeight="1" x14ac:dyDescent="0.25">
      <c r="A77" s="39"/>
      <c r="B77" s="10" t="s">
        <v>141</v>
      </c>
      <c r="C77" s="11" t="s">
        <v>142</v>
      </c>
      <c r="D77" s="18">
        <v>9.7222222222222196E-2</v>
      </c>
    </row>
    <row r="78" spans="1:4" s="2" customFormat="1" ht="18" customHeight="1" x14ac:dyDescent="0.25">
      <c r="A78" s="39"/>
      <c r="B78" s="10" t="s">
        <v>143</v>
      </c>
      <c r="C78" s="11" t="s">
        <v>144</v>
      </c>
      <c r="D78" s="18">
        <v>0.118055555555556</v>
      </c>
    </row>
    <row r="79" spans="1:4" s="2" customFormat="1" ht="18" customHeight="1" x14ac:dyDescent="0.25">
      <c r="A79" s="39"/>
      <c r="B79" s="10" t="s">
        <v>149</v>
      </c>
      <c r="C79" s="11" t="s">
        <v>150</v>
      </c>
      <c r="D79" s="18">
        <v>0.131944444444444</v>
      </c>
    </row>
    <row r="80" spans="1:4" s="2" customFormat="1" ht="18" customHeight="1" x14ac:dyDescent="0.25">
      <c r="A80" s="39"/>
      <c r="B80" s="10" t="s">
        <v>145</v>
      </c>
      <c r="C80" s="11" t="s">
        <v>146</v>
      </c>
      <c r="D80" s="18">
        <v>0.15277777777777801</v>
      </c>
    </row>
    <row r="81" spans="1:4" s="2" customFormat="1" ht="18" customHeight="1" x14ac:dyDescent="0.25">
      <c r="A81" s="39"/>
      <c r="B81" s="10" t="s">
        <v>147</v>
      </c>
      <c r="C81" s="11" t="s">
        <v>148</v>
      </c>
      <c r="D81" s="18">
        <v>0.17361111111111099</v>
      </c>
    </row>
    <row r="82" spans="1:4" s="2" customFormat="1" ht="18" customHeight="1" x14ac:dyDescent="0.25">
      <c r="A82" s="39"/>
      <c r="B82" s="10" t="s">
        <v>153</v>
      </c>
      <c r="C82" s="11" t="s">
        <v>154</v>
      </c>
      <c r="D82" s="18">
        <v>0.20138888888888901</v>
      </c>
    </row>
    <row r="83" spans="1:4" s="2" customFormat="1" ht="18" customHeight="1" x14ac:dyDescent="0.25">
      <c r="A83" s="39">
        <v>213</v>
      </c>
      <c r="B83" s="10" t="s">
        <v>155</v>
      </c>
      <c r="C83" s="11" t="s">
        <v>156</v>
      </c>
      <c r="D83" s="18">
        <v>8.3333333333333301E-2</v>
      </c>
    </row>
    <row r="84" spans="1:4" s="2" customFormat="1" ht="18" customHeight="1" x14ac:dyDescent="0.25">
      <c r="A84" s="39"/>
      <c r="B84" s="10" t="s">
        <v>157</v>
      </c>
      <c r="C84" s="11" t="s">
        <v>158</v>
      </c>
      <c r="D84" s="18">
        <v>0.104166666666667</v>
      </c>
    </row>
    <row r="85" spans="1:4" s="2" customFormat="1" ht="18" customHeight="1" x14ac:dyDescent="0.25">
      <c r="A85" s="39"/>
      <c r="B85" s="10" t="s">
        <v>159</v>
      </c>
      <c r="C85" s="11" t="s">
        <v>160</v>
      </c>
      <c r="D85" s="18">
        <v>0.118055555555556</v>
      </c>
    </row>
    <row r="86" spans="1:4" s="2" customFormat="1" ht="18" customHeight="1" x14ac:dyDescent="0.25">
      <c r="A86" s="39"/>
      <c r="B86" s="10" t="s">
        <v>161</v>
      </c>
      <c r="C86" s="11" t="s">
        <v>162</v>
      </c>
      <c r="D86" s="18">
        <v>0.13888888888888901</v>
      </c>
    </row>
    <row r="87" spans="1:4" s="2" customFormat="1" ht="18" customHeight="1" x14ac:dyDescent="0.25">
      <c r="A87" s="39"/>
      <c r="B87" s="10" t="s">
        <v>165</v>
      </c>
      <c r="C87" s="11" t="s">
        <v>166</v>
      </c>
      <c r="D87" s="18">
        <v>0.15972222222222199</v>
      </c>
    </row>
    <row r="88" spans="1:4" s="2" customFormat="1" ht="18" customHeight="1" x14ac:dyDescent="0.25">
      <c r="A88" s="39"/>
      <c r="B88" s="10" t="s">
        <v>169</v>
      </c>
      <c r="C88" s="11" t="s">
        <v>170</v>
      </c>
      <c r="D88" s="18">
        <v>0.17361111111111099</v>
      </c>
    </row>
    <row r="89" spans="1:4" s="2" customFormat="1" ht="18" customHeight="1" x14ac:dyDescent="0.25">
      <c r="A89" s="39"/>
      <c r="B89" s="10" t="s">
        <v>163</v>
      </c>
      <c r="C89" s="11" t="s">
        <v>164</v>
      </c>
      <c r="D89" s="18">
        <v>0.1875</v>
      </c>
    </row>
    <row r="90" spans="1:4" s="2" customFormat="1" ht="18" customHeight="1" x14ac:dyDescent="0.25">
      <c r="A90" s="39"/>
      <c r="B90" s="10" t="s">
        <v>167</v>
      </c>
      <c r="C90" s="11" t="s">
        <v>168</v>
      </c>
      <c r="D90" s="18">
        <v>0.20833333333333301</v>
      </c>
    </row>
    <row r="91" spans="1:4" s="2" customFormat="1" ht="18" customHeight="1" x14ac:dyDescent="0.25">
      <c r="A91" s="39">
        <v>214</v>
      </c>
      <c r="B91" s="10" t="s">
        <v>183</v>
      </c>
      <c r="C91" s="11" t="s">
        <v>184</v>
      </c>
      <c r="D91" s="18">
        <v>5.5555555555555601E-2</v>
      </c>
    </row>
    <row r="92" spans="1:4" s="2" customFormat="1" ht="18" customHeight="1" x14ac:dyDescent="0.25">
      <c r="A92" s="40"/>
      <c r="B92" s="10" t="s">
        <v>171</v>
      </c>
      <c r="C92" s="11" t="s">
        <v>172</v>
      </c>
      <c r="D92" s="18">
        <v>7.6388888888888895E-2</v>
      </c>
    </row>
    <row r="93" spans="1:4" s="2" customFormat="1" ht="18" customHeight="1" x14ac:dyDescent="0.25">
      <c r="A93" s="40"/>
      <c r="B93" s="10" t="s">
        <v>173</v>
      </c>
      <c r="C93" s="11" t="s">
        <v>174</v>
      </c>
      <c r="D93" s="18">
        <v>9.7222222222222196E-2</v>
      </c>
    </row>
    <row r="94" spans="1:4" s="2" customFormat="1" ht="18" customHeight="1" x14ac:dyDescent="0.25">
      <c r="A94" s="40"/>
      <c r="B94" s="10" t="s">
        <v>175</v>
      </c>
      <c r="C94" s="11" t="s">
        <v>176</v>
      </c>
      <c r="D94" s="18">
        <v>0.114583333333333</v>
      </c>
    </row>
    <row r="95" spans="1:4" s="2" customFormat="1" ht="18" customHeight="1" x14ac:dyDescent="0.25">
      <c r="A95" s="40"/>
      <c r="B95" s="21" t="s">
        <v>177</v>
      </c>
      <c r="C95" s="22" t="s">
        <v>178</v>
      </c>
      <c r="D95" s="18">
        <v>0.13541666666666699</v>
      </c>
    </row>
    <row r="96" spans="1:4" s="2" customFormat="1" ht="18" customHeight="1" x14ac:dyDescent="0.25">
      <c r="A96" s="40"/>
      <c r="B96" s="10" t="s">
        <v>179</v>
      </c>
      <c r="C96" s="11" t="s">
        <v>180</v>
      </c>
      <c r="D96" s="18">
        <v>0.15972222222222199</v>
      </c>
    </row>
    <row r="97" spans="1:4" s="2" customFormat="1" ht="18" customHeight="1" x14ac:dyDescent="0.25">
      <c r="A97" s="40"/>
      <c r="B97" s="10" t="s">
        <v>181</v>
      </c>
      <c r="C97" s="11" t="s">
        <v>182</v>
      </c>
      <c r="D97" s="18">
        <v>0.180555555555556</v>
      </c>
    </row>
    <row r="98" spans="1:4" s="2" customFormat="1" ht="18" customHeight="1" x14ac:dyDescent="0.25">
      <c r="A98" s="40"/>
      <c r="B98" s="10" t="s">
        <v>185</v>
      </c>
      <c r="C98" s="11" t="s">
        <v>186</v>
      </c>
      <c r="D98" s="18">
        <v>0.20833333333333301</v>
      </c>
    </row>
    <row r="99" spans="1:4" s="2" customFormat="1" ht="18" customHeight="1" x14ac:dyDescent="0.25">
      <c r="A99" s="39">
        <v>215</v>
      </c>
      <c r="B99" s="10" t="s">
        <v>187</v>
      </c>
      <c r="C99" s="11" t="s">
        <v>188</v>
      </c>
      <c r="D99" s="18">
        <v>4.1666666666666699E-2</v>
      </c>
    </row>
    <row r="100" spans="1:4" s="2" customFormat="1" ht="18" customHeight="1" x14ac:dyDescent="0.25">
      <c r="A100" s="39"/>
      <c r="B100" s="10" t="s">
        <v>189</v>
      </c>
      <c r="C100" s="11" t="s">
        <v>190</v>
      </c>
      <c r="D100" s="18">
        <v>6.5972222222222196E-2</v>
      </c>
    </row>
    <row r="101" spans="1:4" s="2" customFormat="1" ht="18" customHeight="1" x14ac:dyDescent="0.25">
      <c r="A101" s="40"/>
      <c r="B101" s="10" t="s">
        <v>191</v>
      </c>
      <c r="C101" s="11" t="s">
        <v>192</v>
      </c>
      <c r="D101" s="18">
        <v>9.0277777777777804E-2</v>
      </c>
    </row>
    <row r="102" spans="1:4" s="2" customFormat="1" ht="18" customHeight="1" x14ac:dyDescent="0.25">
      <c r="A102" s="40"/>
      <c r="B102" s="10" t="s">
        <v>193</v>
      </c>
      <c r="C102" s="11" t="s">
        <v>194</v>
      </c>
      <c r="D102" s="18">
        <v>0.121527777777778</v>
      </c>
    </row>
    <row r="103" spans="1:4" s="2" customFormat="1" ht="18" customHeight="1" x14ac:dyDescent="0.25">
      <c r="A103" s="40"/>
      <c r="B103" s="10" t="s">
        <v>201</v>
      </c>
      <c r="C103" s="11" t="s">
        <v>202</v>
      </c>
      <c r="D103" s="18">
        <v>0.14583333333333301</v>
      </c>
    </row>
    <row r="104" spans="1:4" s="2" customFormat="1" ht="18" customHeight="1" x14ac:dyDescent="0.25">
      <c r="A104" s="40"/>
      <c r="B104" s="10" t="s">
        <v>195</v>
      </c>
      <c r="C104" s="11" t="s">
        <v>196</v>
      </c>
      <c r="D104" s="18">
        <v>0.180555555555556</v>
      </c>
    </row>
    <row r="105" spans="1:4" s="2" customFormat="1" ht="18" customHeight="1" x14ac:dyDescent="0.25">
      <c r="A105" s="40"/>
      <c r="B105" s="10" t="s">
        <v>197</v>
      </c>
      <c r="C105" s="11" t="s">
        <v>198</v>
      </c>
      <c r="D105" s="18">
        <v>0.1875</v>
      </c>
    </row>
    <row r="106" spans="1:4" s="2" customFormat="1" ht="18" customHeight="1" x14ac:dyDescent="0.25">
      <c r="A106" s="40"/>
      <c r="B106" s="10" t="s">
        <v>199</v>
      </c>
      <c r="C106" s="11" t="s">
        <v>200</v>
      </c>
      <c r="D106" s="18">
        <v>0.20833333333333301</v>
      </c>
    </row>
    <row r="107" spans="1:4" s="2" customFormat="1" ht="18" customHeight="1" x14ac:dyDescent="0.25">
      <c r="A107" s="39">
        <v>217</v>
      </c>
      <c r="B107" s="21" t="s">
        <v>215</v>
      </c>
      <c r="C107" s="11" t="s">
        <v>216</v>
      </c>
      <c r="D107" s="18">
        <v>8.3333333333333301E-2</v>
      </c>
    </row>
    <row r="108" spans="1:4" s="2" customFormat="1" ht="18" customHeight="1" x14ac:dyDescent="0.25">
      <c r="A108" s="39"/>
      <c r="B108" s="10" t="s">
        <v>213</v>
      </c>
      <c r="C108" s="11" t="s">
        <v>214</v>
      </c>
      <c r="D108" s="18">
        <v>0.104166666666667</v>
      </c>
    </row>
    <row r="109" spans="1:4" s="2" customFormat="1" ht="18" customHeight="1" x14ac:dyDescent="0.25">
      <c r="A109" s="39"/>
      <c r="B109" s="10" t="s">
        <v>209</v>
      </c>
      <c r="C109" s="11" t="s">
        <v>210</v>
      </c>
      <c r="D109" s="18">
        <v>0.125</v>
      </c>
    </row>
    <row r="110" spans="1:4" s="2" customFormat="1" ht="18" customHeight="1" x14ac:dyDescent="0.25">
      <c r="A110" s="39"/>
      <c r="B110" s="10" t="s">
        <v>207</v>
      </c>
      <c r="C110" s="11" t="s">
        <v>208</v>
      </c>
      <c r="D110" s="18">
        <v>0.15277777777777801</v>
      </c>
    </row>
    <row r="111" spans="1:4" s="2" customFormat="1" ht="18" customHeight="1" x14ac:dyDescent="0.25">
      <c r="A111" s="39"/>
      <c r="B111" s="10" t="s">
        <v>203</v>
      </c>
      <c r="C111" s="11" t="s">
        <v>204</v>
      </c>
      <c r="D111" s="18">
        <v>0.16666666666666699</v>
      </c>
    </row>
    <row r="112" spans="1:4" s="2" customFormat="1" ht="18" customHeight="1" x14ac:dyDescent="0.25">
      <c r="A112" s="39"/>
      <c r="B112" s="10" t="s">
        <v>205</v>
      </c>
      <c r="C112" s="11" t="s">
        <v>206</v>
      </c>
      <c r="D112" s="18">
        <v>0.180555555555556</v>
      </c>
    </row>
    <row r="113" spans="1:4 16360:16366" s="2" customFormat="1" ht="18" customHeight="1" x14ac:dyDescent="0.25">
      <c r="A113" s="39"/>
      <c r="B113" s="10" t="s">
        <v>211</v>
      </c>
      <c r="C113" s="11" t="s">
        <v>212</v>
      </c>
      <c r="D113" s="18">
        <v>0.20833333333333301</v>
      </c>
    </row>
    <row r="114" spans="1:4 16360:16366" s="4" customFormat="1" x14ac:dyDescent="0.25">
      <c r="XEF114"/>
      <c r="XEG114"/>
      <c r="XEH114"/>
      <c r="XEI114"/>
      <c r="XEJ114"/>
      <c r="XEK114"/>
      <c r="XEL114"/>
    </row>
    <row r="115" spans="1:4 16360:16366" s="4" customFormat="1" x14ac:dyDescent="0.25">
      <c r="XEF115"/>
      <c r="XEG115"/>
      <c r="XEH115"/>
      <c r="XEI115"/>
      <c r="XEJ115"/>
      <c r="XEK115"/>
      <c r="XEL115"/>
    </row>
    <row r="116" spans="1:4 16360:16366" s="4" customFormat="1" x14ac:dyDescent="0.25">
      <c r="XEF116"/>
      <c r="XEG116"/>
      <c r="XEH116"/>
      <c r="XEI116"/>
      <c r="XEJ116"/>
      <c r="XEK116"/>
      <c r="XEL116"/>
    </row>
  </sheetData>
  <autoFilter ref="A1:D113" xr:uid="{00000000-0001-0000-0100-000000000000}"/>
  <mergeCells count="14">
    <mergeCell ref="A83:A90"/>
    <mergeCell ref="A91:A98"/>
    <mergeCell ref="A99:A106"/>
    <mergeCell ref="A107:A113"/>
    <mergeCell ref="A43:A50"/>
    <mergeCell ref="A51:A58"/>
    <mergeCell ref="A59:A66"/>
    <mergeCell ref="A67:A73"/>
    <mergeCell ref="A74:A82"/>
    <mergeCell ref="A2:A9"/>
    <mergeCell ref="A10:A17"/>
    <mergeCell ref="A18:A26"/>
    <mergeCell ref="A27:A33"/>
    <mergeCell ref="A34:A42"/>
  </mergeCells>
  <phoneticPr fontId="15" type="noConversion"/>
  <conditionalFormatting sqref="B1">
    <cfRule type="duplicateValues" dxfId="248" priority="258"/>
  </conditionalFormatting>
  <conditionalFormatting sqref="B1:B42">
    <cfRule type="timePeriod" dxfId="247" priority="223" timePeriod="yesterday">
      <formula>FLOOR(B1,1)=TODAY()-1</formula>
    </cfRule>
  </conditionalFormatting>
  <conditionalFormatting sqref="B2">
    <cfRule type="duplicateValues" dxfId="246" priority="265"/>
  </conditionalFormatting>
  <conditionalFormatting sqref="B2:B3">
    <cfRule type="duplicateValues" dxfId="245" priority="264"/>
  </conditionalFormatting>
  <conditionalFormatting sqref="B2:B8">
    <cfRule type="duplicateValues" dxfId="244" priority="267"/>
  </conditionalFormatting>
  <conditionalFormatting sqref="B3">
    <cfRule type="duplicateValues" dxfId="243" priority="263"/>
  </conditionalFormatting>
  <conditionalFormatting sqref="B4:B8">
    <cfRule type="duplicateValues" dxfId="242" priority="266"/>
  </conditionalFormatting>
  <conditionalFormatting sqref="B9">
    <cfRule type="duplicateValues" dxfId="241" priority="260"/>
  </conditionalFormatting>
  <conditionalFormatting sqref="B10 B12:B17">
    <cfRule type="duplicateValues" dxfId="240" priority="255"/>
  </conditionalFormatting>
  <conditionalFormatting sqref="B10:B17">
    <cfRule type="duplicateValues" dxfId="239" priority="254"/>
    <cfRule type="duplicateValues" dxfId="238" priority="256"/>
  </conditionalFormatting>
  <conditionalFormatting sqref="B11">
    <cfRule type="duplicateValues" dxfId="237" priority="253"/>
  </conditionalFormatting>
  <conditionalFormatting sqref="B18">
    <cfRule type="duplicateValues" dxfId="236" priority="249"/>
  </conditionalFormatting>
  <conditionalFormatting sqref="B18:B19 B21:B23">
    <cfRule type="duplicateValues" dxfId="235" priority="250"/>
  </conditionalFormatting>
  <conditionalFormatting sqref="B18:B19">
    <cfRule type="duplicateValues" dxfId="234" priority="247"/>
  </conditionalFormatting>
  <conditionalFormatting sqref="B18:B25">
    <cfRule type="duplicateValues" dxfId="233" priority="251"/>
  </conditionalFormatting>
  <conditionalFormatting sqref="B19 B21:B22">
    <cfRule type="duplicateValues" dxfId="232" priority="246"/>
  </conditionalFormatting>
  <conditionalFormatting sqref="B20">
    <cfRule type="duplicateValues" dxfId="231" priority="245"/>
  </conditionalFormatting>
  <conditionalFormatting sqref="B23">
    <cfRule type="duplicateValues" dxfId="230" priority="244"/>
  </conditionalFormatting>
  <conditionalFormatting sqref="B24:B25">
    <cfRule type="duplicateValues" dxfId="229" priority="248"/>
  </conditionalFormatting>
  <conditionalFormatting sqref="B26">
    <cfRule type="duplicateValues" dxfId="228" priority="240"/>
  </conditionalFormatting>
  <conditionalFormatting sqref="B27">
    <cfRule type="duplicateValues" dxfId="227" priority="238"/>
  </conditionalFormatting>
  <conditionalFormatting sqref="B27:B33">
    <cfRule type="duplicateValues" dxfId="226" priority="239"/>
  </conditionalFormatting>
  <conditionalFormatting sqref="B28">
    <cfRule type="duplicateValues" dxfId="225" priority="236"/>
  </conditionalFormatting>
  <conditionalFormatting sqref="B29:B31">
    <cfRule type="duplicateValues" dxfId="224" priority="235"/>
  </conditionalFormatting>
  <conditionalFormatting sqref="B31">
    <cfRule type="duplicateValues" dxfId="223" priority="234"/>
  </conditionalFormatting>
  <conditionalFormatting sqref="B32">
    <cfRule type="duplicateValues" dxfId="222" priority="233"/>
  </conditionalFormatting>
  <conditionalFormatting sqref="B33">
    <cfRule type="duplicateValues" dxfId="221" priority="237"/>
  </conditionalFormatting>
  <conditionalFormatting sqref="B34">
    <cfRule type="duplicateValues" dxfId="220" priority="225"/>
  </conditionalFormatting>
  <conditionalFormatting sqref="B34:B35">
    <cfRule type="duplicateValues" dxfId="219" priority="226"/>
  </conditionalFormatting>
  <conditionalFormatting sqref="B34:B38">
    <cfRule type="duplicateValues" dxfId="218" priority="222"/>
    <cfRule type="duplicateValues" dxfId="217" priority="227"/>
  </conditionalFormatting>
  <conditionalFormatting sqref="B34:B42">
    <cfRule type="duplicateValues" dxfId="216" priority="230"/>
  </conditionalFormatting>
  <conditionalFormatting sqref="B35">
    <cfRule type="duplicateValues" dxfId="215" priority="221"/>
  </conditionalFormatting>
  <conditionalFormatting sqref="B36 B38">
    <cfRule type="duplicateValues" dxfId="214" priority="218"/>
  </conditionalFormatting>
  <conditionalFormatting sqref="B36">
    <cfRule type="duplicateValues" dxfId="213" priority="219"/>
  </conditionalFormatting>
  <conditionalFormatting sqref="B37">
    <cfRule type="duplicateValues" dxfId="212" priority="220"/>
  </conditionalFormatting>
  <conditionalFormatting sqref="B38">
    <cfRule type="duplicateValues" dxfId="211" priority="217"/>
  </conditionalFormatting>
  <conditionalFormatting sqref="B39 B41:B42">
    <cfRule type="duplicateValues" dxfId="210" priority="228"/>
  </conditionalFormatting>
  <conditionalFormatting sqref="B39">
    <cfRule type="duplicateValues" dxfId="209" priority="224"/>
  </conditionalFormatting>
  <conditionalFormatting sqref="B40">
    <cfRule type="duplicateValues" dxfId="208" priority="216"/>
  </conditionalFormatting>
  <conditionalFormatting sqref="B41:B42">
    <cfRule type="duplicateValues" dxfId="207" priority="229"/>
  </conditionalFormatting>
  <conditionalFormatting sqref="B43">
    <cfRule type="duplicateValues" dxfId="206" priority="206"/>
  </conditionalFormatting>
  <conditionalFormatting sqref="B43:B46 B48:B49">
    <cfRule type="duplicateValues" dxfId="205" priority="213"/>
  </conditionalFormatting>
  <conditionalFormatting sqref="B43:B46 B49">
    <cfRule type="duplicateValues" dxfId="204" priority="212"/>
  </conditionalFormatting>
  <conditionalFormatting sqref="B43:B50">
    <cfRule type="duplicateValues" dxfId="203" priority="214"/>
  </conditionalFormatting>
  <conditionalFormatting sqref="B44 B46 B49">
    <cfRule type="duplicateValues" dxfId="202" priority="208"/>
  </conditionalFormatting>
  <conditionalFormatting sqref="B44 B49">
    <cfRule type="duplicateValues" dxfId="201" priority="203"/>
  </conditionalFormatting>
  <conditionalFormatting sqref="B44">
    <cfRule type="duplicateValues" dxfId="200" priority="202"/>
  </conditionalFormatting>
  <conditionalFormatting sqref="B44:B46 B49">
    <cfRule type="duplicateValues" dxfId="199" priority="209"/>
  </conditionalFormatting>
  <conditionalFormatting sqref="B45">
    <cfRule type="duplicateValues" dxfId="198" priority="205"/>
  </conditionalFormatting>
  <conditionalFormatting sqref="B46">
    <cfRule type="duplicateValues" dxfId="197" priority="207"/>
  </conditionalFormatting>
  <conditionalFormatting sqref="B47">
    <cfRule type="duplicateValues" dxfId="196" priority="199"/>
  </conditionalFormatting>
  <conditionalFormatting sqref="B47:B48">
    <cfRule type="timePeriod" dxfId="195" priority="200" timePeriod="yesterday">
      <formula>FLOOR(B47,1)=TODAY()-1</formula>
    </cfRule>
  </conditionalFormatting>
  <conditionalFormatting sqref="B48">
    <cfRule type="duplicateValues" dxfId="194" priority="201"/>
  </conditionalFormatting>
  <conditionalFormatting sqref="B49">
    <cfRule type="duplicateValues" dxfId="193" priority="204"/>
  </conditionalFormatting>
  <conditionalFormatting sqref="B50">
    <cfRule type="duplicateValues" dxfId="192" priority="211"/>
  </conditionalFormatting>
  <conditionalFormatting sqref="B50:B85">
    <cfRule type="timePeriod" dxfId="191" priority="142" timePeriod="yesterday">
      <formula>FLOOR(B50,1)=TODAY()-1</formula>
    </cfRule>
  </conditionalFormatting>
  <conditionalFormatting sqref="B51 B53">
    <cfRule type="duplicateValues" dxfId="190" priority="191"/>
  </conditionalFormatting>
  <conditionalFormatting sqref="B51:B53">
    <cfRule type="duplicateValues" dxfId="189" priority="190"/>
  </conditionalFormatting>
  <conditionalFormatting sqref="B51:B54">
    <cfRule type="duplicateValues" dxfId="188" priority="192"/>
  </conditionalFormatting>
  <conditionalFormatting sqref="B52">
    <cfRule type="duplicateValues" dxfId="187" priority="189"/>
  </conditionalFormatting>
  <conditionalFormatting sqref="B54">
    <cfRule type="duplicateValues" dxfId="186" priority="188"/>
  </conditionalFormatting>
  <conditionalFormatting sqref="B55">
    <cfRule type="duplicateValues" dxfId="185" priority="194"/>
  </conditionalFormatting>
  <conditionalFormatting sqref="B55:B58">
    <cfRule type="duplicateValues" dxfId="184" priority="198"/>
  </conditionalFormatting>
  <conditionalFormatting sqref="B56:B57">
    <cfRule type="duplicateValues" dxfId="183" priority="193"/>
  </conditionalFormatting>
  <conditionalFormatting sqref="B58">
    <cfRule type="duplicateValues" dxfId="182" priority="196"/>
    <cfRule type="duplicateValues" dxfId="181" priority="197"/>
  </conditionalFormatting>
  <conditionalFormatting sqref="B59">
    <cfRule type="duplicateValues" dxfId="180" priority="176"/>
  </conditionalFormatting>
  <conditionalFormatting sqref="B59:B60">
    <cfRule type="duplicateValues" dxfId="179" priority="175"/>
  </conditionalFormatting>
  <conditionalFormatting sqref="B60">
    <cfRule type="duplicateValues" dxfId="178" priority="174"/>
  </conditionalFormatting>
  <conditionalFormatting sqref="B61">
    <cfRule type="duplicateValues" dxfId="177" priority="171"/>
  </conditionalFormatting>
  <conditionalFormatting sqref="B62:B63 B65">
    <cfRule type="duplicateValues" dxfId="176" priority="180"/>
  </conditionalFormatting>
  <conditionalFormatting sqref="B62:B63 B65:B66">
    <cfRule type="duplicateValues" dxfId="175" priority="182"/>
  </conditionalFormatting>
  <conditionalFormatting sqref="B62:B63">
    <cfRule type="duplicateValues" dxfId="174" priority="179"/>
  </conditionalFormatting>
  <conditionalFormatting sqref="B62:B66">
    <cfRule type="duplicateValues" dxfId="173" priority="185"/>
  </conditionalFormatting>
  <conditionalFormatting sqref="B64">
    <cfRule type="duplicateValues" dxfId="172" priority="177"/>
    <cfRule type="duplicateValues" dxfId="171" priority="178"/>
  </conditionalFormatting>
  <conditionalFormatting sqref="B65">
    <cfRule type="duplicateValues" dxfId="170" priority="181"/>
  </conditionalFormatting>
  <conditionalFormatting sqref="B66">
    <cfRule type="duplicateValues" dxfId="169" priority="183"/>
  </conditionalFormatting>
  <conditionalFormatting sqref="B67">
    <cfRule type="duplicateValues" dxfId="168" priority="164"/>
  </conditionalFormatting>
  <conditionalFormatting sqref="B67:B73">
    <cfRule type="duplicateValues" dxfId="167" priority="170"/>
  </conditionalFormatting>
  <conditionalFormatting sqref="B68 B70">
    <cfRule type="duplicateValues" dxfId="166" priority="163"/>
  </conditionalFormatting>
  <conditionalFormatting sqref="B68 B70:B71">
    <cfRule type="duplicateValues" dxfId="165" priority="162"/>
  </conditionalFormatting>
  <conditionalFormatting sqref="B69">
    <cfRule type="duplicateValues" dxfId="164" priority="160"/>
  </conditionalFormatting>
  <conditionalFormatting sqref="B71">
    <cfRule type="duplicateValues" dxfId="163" priority="161"/>
  </conditionalFormatting>
  <conditionalFormatting sqref="B72">
    <cfRule type="duplicateValues" dxfId="162" priority="159"/>
  </conditionalFormatting>
  <conditionalFormatting sqref="B72:B73">
    <cfRule type="duplicateValues" dxfId="161" priority="166"/>
    <cfRule type="duplicateValues" dxfId="160" priority="168"/>
  </conditionalFormatting>
  <conditionalFormatting sqref="B73">
    <cfRule type="duplicateValues" dxfId="159" priority="167"/>
    <cfRule type="duplicateValues" dxfId="158" priority="169"/>
  </conditionalFormatting>
  <conditionalFormatting sqref="B74">
    <cfRule type="duplicateValues" dxfId="157" priority="149"/>
  </conditionalFormatting>
  <conditionalFormatting sqref="B74:B82">
    <cfRule type="duplicateValues" dxfId="156" priority="158"/>
  </conditionalFormatting>
  <conditionalFormatting sqref="B75:B78">
    <cfRule type="duplicateValues" dxfId="155" priority="148"/>
  </conditionalFormatting>
  <conditionalFormatting sqref="B75:B79 B82">
    <cfRule type="duplicateValues" dxfId="154" priority="155"/>
  </conditionalFormatting>
  <conditionalFormatting sqref="B79">
    <cfRule type="duplicateValues" dxfId="153" priority="147"/>
  </conditionalFormatting>
  <conditionalFormatting sqref="B80">
    <cfRule type="duplicateValues" dxfId="152" priority="151"/>
    <cfRule type="duplicateValues" dxfId="151" priority="152"/>
    <cfRule type="duplicateValues" dxfId="150" priority="153"/>
    <cfRule type="duplicateValues" dxfId="149" priority="157"/>
  </conditionalFormatting>
  <conditionalFormatting sqref="B81">
    <cfRule type="duplicateValues" dxfId="148" priority="150"/>
  </conditionalFormatting>
  <conditionalFormatting sqref="B82">
    <cfRule type="duplicateValues" dxfId="147" priority="156"/>
  </conditionalFormatting>
  <conditionalFormatting sqref="B83">
    <cfRule type="duplicateValues" dxfId="146" priority="135"/>
    <cfRule type="duplicateValues" dxfId="145" priority="144"/>
  </conditionalFormatting>
  <conditionalFormatting sqref="B83:B90">
    <cfRule type="duplicateValues" dxfId="144" priority="146"/>
  </conditionalFormatting>
  <conditionalFormatting sqref="B84">
    <cfRule type="duplicateValues" dxfId="143" priority="136"/>
  </conditionalFormatting>
  <conditionalFormatting sqref="B85">
    <cfRule type="duplicateValues" dxfId="142" priority="145"/>
  </conditionalFormatting>
  <conditionalFormatting sqref="B86">
    <cfRule type="duplicateValues" dxfId="141" priority="137"/>
  </conditionalFormatting>
  <conditionalFormatting sqref="B86:B90">
    <cfRule type="duplicateValues" dxfId="140" priority="140"/>
  </conditionalFormatting>
  <conditionalFormatting sqref="B87:B88 B90">
    <cfRule type="duplicateValues" dxfId="139" priority="143"/>
  </conditionalFormatting>
  <conditionalFormatting sqref="B87:B88">
    <cfRule type="duplicateValues" dxfId="138" priority="139"/>
  </conditionalFormatting>
  <conditionalFormatting sqref="B89">
    <cfRule type="duplicateValues" dxfId="137" priority="138"/>
  </conditionalFormatting>
  <conditionalFormatting sqref="B90">
    <cfRule type="duplicateValues" dxfId="136" priority="141"/>
  </conditionalFormatting>
  <conditionalFormatting sqref="B91">
    <cfRule type="duplicateValues" dxfId="135" priority="125"/>
    <cfRule type="duplicateValues" dxfId="134" priority="126"/>
    <cfRule type="duplicateValues" dxfId="133" priority="130"/>
  </conditionalFormatting>
  <conditionalFormatting sqref="B91:B98">
    <cfRule type="duplicateValues" dxfId="132" priority="133"/>
  </conditionalFormatting>
  <conditionalFormatting sqref="B92 B94:B98">
    <cfRule type="duplicateValues" dxfId="131" priority="131"/>
  </conditionalFormatting>
  <conditionalFormatting sqref="B92">
    <cfRule type="duplicateValues" dxfId="130" priority="132"/>
  </conditionalFormatting>
  <conditionalFormatting sqref="B93 B96">
    <cfRule type="timePeriod" dxfId="129" priority="124" timePeriod="yesterday">
      <formula>FLOOR(B93,1)=TODAY()-1</formula>
    </cfRule>
  </conditionalFormatting>
  <conditionalFormatting sqref="B93">
    <cfRule type="duplicateValues" dxfId="128" priority="119"/>
    <cfRule type="duplicateValues" dxfId="127" priority="127"/>
    <cfRule type="duplicateValues" dxfId="126" priority="128"/>
    <cfRule type="duplicateValues" dxfId="125" priority="129"/>
  </conditionalFormatting>
  <conditionalFormatting sqref="B94 B97">
    <cfRule type="duplicateValues" dxfId="124" priority="117"/>
  </conditionalFormatting>
  <conditionalFormatting sqref="B94">
    <cfRule type="duplicateValues" dxfId="123" priority="116"/>
  </conditionalFormatting>
  <conditionalFormatting sqref="B94:B98">
    <cfRule type="duplicateValues" dxfId="122" priority="118"/>
  </conditionalFormatting>
  <conditionalFormatting sqref="B96">
    <cfRule type="duplicateValues" dxfId="121" priority="123"/>
  </conditionalFormatting>
  <conditionalFormatting sqref="B97">
    <cfRule type="duplicateValues" dxfId="120" priority="122"/>
  </conditionalFormatting>
  <conditionalFormatting sqref="B98">
    <cfRule type="duplicateValues" dxfId="119" priority="120"/>
  </conditionalFormatting>
  <conditionalFormatting sqref="B98:B101 B104:B106">
    <cfRule type="timePeriod" dxfId="118" priority="105" timePeriod="yesterday">
      <formula>FLOOR(B98,1)=TODAY()-1</formula>
    </cfRule>
  </conditionalFormatting>
  <conditionalFormatting sqref="B99:B100">
    <cfRule type="duplicateValues" dxfId="117" priority="108"/>
    <cfRule type="duplicateValues" dxfId="116" priority="114"/>
  </conditionalFormatting>
  <conditionalFormatting sqref="B99:B106">
    <cfRule type="duplicateValues" dxfId="115" priority="115"/>
  </conditionalFormatting>
  <conditionalFormatting sqref="B101">
    <cfRule type="duplicateValues" dxfId="114" priority="107"/>
  </conditionalFormatting>
  <conditionalFormatting sqref="B102:B103 B106">
    <cfRule type="duplicateValues" dxfId="113" priority="111"/>
  </conditionalFormatting>
  <conditionalFormatting sqref="B102:B103">
    <cfRule type="duplicateValues" dxfId="112" priority="104"/>
    <cfRule type="duplicateValues" dxfId="111" priority="109"/>
  </conditionalFormatting>
  <conditionalFormatting sqref="B103">
    <cfRule type="duplicateValues" dxfId="110" priority="103"/>
  </conditionalFormatting>
  <conditionalFormatting sqref="B104">
    <cfRule type="duplicateValues" dxfId="109" priority="102"/>
  </conditionalFormatting>
  <conditionalFormatting sqref="B104:B105">
    <cfRule type="duplicateValues" dxfId="108" priority="110"/>
  </conditionalFormatting>
  <conditionalFormatting sqref="B105">
    <cfRule type="duplicateValues" dxfId="107" priority="101"/>
  </conditionalFormatting>
  <conditionalFormatting sqref="B106">
    <cfRule type="duplicateValues" dxfId="106" priority="112"/>
  </conditionalFormatting>
  <conditionalFormatting sqref="B107:B109 B112:B113">
    <cfRule type="duplicateValues" dxfId="105" priority="97"/>
  </conditionalFormatting>
  <conditionalFormatting sqref="B107:B109 B113">
    <cfRule type="duplicateValues" dxfId="104" priority="96"/>
  </conditionalFormatting>
  <conditionalFormatting sqref="B107:B113">
    <cfRule type="duplicateValues" dxfId="103" priority="98"/>
  </conditionalFormatting>
  <conditionalFormatting sqref="B108">
    <cfRule type="duplicateValues" dxfId="102" priority="91"/>
  </conditionalFormatting>
  <conditionalFormatting sqref="B108:B109">
    <cfRule type="duplicateValues" dxfId="101" priority="92"/>
  </conditionalFormatting>
  <conditionalFormatting sqref="B108:B113">
    <cfRule type="timePeriod" dxfId="100" priority="95" timePeriod="yesterday">
      <formula>FLOOR(B108,1)=TODAY()-1</formula>
    </cfRule>
  </conditionalFormatting>
  <conditionalFormatting sqref="B109">
    <cfRule type="duplicateValues" dxfId="99" priority="88"/>
  </conditionalFormatting>
  <conditionalFormatting sqref="B110">
    <cfRule type="duplicateValues" dxfId="98" priority="94"/>
  </conditionalFormatting>
  <conditionalFormatting sqref="B111">
    <cfRule type="duplicateValues" dxfId="97" priority="90"/>
  </conditionalFormatting>
  <conditionalFormatting sqref="B112">
    <cfRule type="duplicateValues" dxfId="96" priority="89"/>
  </conditionalFormatting>
  <conditionalFormatting sqref="B113">
    <cfRule type="duplicateValues" dxfId="95" priority="87"/>
  </conditionalFormatting>
  <conditionalFormatting sqref="C2:C3">
    <cfRule type="duplicateValues" dxfId="94" priority="262"/>
  </conditionalFormatting>
  <conditionalFormatting sqref="C20">
    <cfRule type="duplicateValues" dxfId="93" priority="243"/>
  </conditionalFormatting>
  <conditionalFormatting sqref="C29:C31">
    <cfRule type="duplicateValues" dxfId="92" priority="232"/>
  </conditionalFormatting>
  <conditionalFormatting sqref="C40">
    <cfRule type="duplicateValues" dxfId="91" priority="215"/>
  </conditionalFormatting>
  <conditionalFormatting sqref="C54">
    <cfRule type="duplicateValues" dxfId="90" priority="187"/>
  </conditionalFormatting>
  <conditionalFormatting sqref="C83">
    <cfRule type="duplicateValues" dxfId="89" priority="134"/>
  </conditionalFormatting>
  <conditionalFormatting sqref="C101">
    <cfRule type="duplicateValues" dxfId="88" priority="106"/>
  </conditionalFormatting>
  <conditionalFormatting sqref="C104">
    <cfRule type="duplicateValues" dxfId="87" priority="100"/>
  </conditionalFormatting>
  <conditionalFormatting sqref="C105">
    <cfRule type="duplicateValues" dxfId="86" priority="99"/>
  </conditionalFormatting>
  <conditionalFormatting sqref="C106">
    <cfRule type="duplicateValues" dxfId="85" priority="113"/>
  </conditionalFormatting>
  <conditionalFormatting sqref="C107 C113">
    <cfRule type="duplicateValues" dxfId="84" priority="83"/>
  </conditionalFormatting>
  <conditionalFormatting sqref="C108:C109">
    <cfRule type="duplicateValues" dxfId="83" priority="86"/>
  </conditionalFormatting>
  <conditionalFormatting sqref="C110">
    <cfRule type="duplicateValues" dxfId="82" priority="93"/>
  </conditionalFormatting>
  <conditionalFormatting sqref="C111">
    <cfRule type="duplicateValues" dxfId="81" priority="85"/>
  </conditionalFormatting>
  <conditionalFormatting sqref="C112">
    <cfRule type="duplicateValues" dxfId="80" priority="84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E836-3737-4982-9F4D-A6D4F0D32EA3}">
  <dimension ref="A1:D77"/>
  <sheetViews>
    <sheetView topLeftCell="A45" workbookViewId="0">
      <selection activeCell="B9" sqref="B9"/>
    </sheetView>
  </sheetViews>
  <sheetFormatPr defaultColWidth="30.109375" defaultRowHeight="14.4" x14ac:dyDescent="0.25"/>
  <sheetData>
    <row r="1" spans="1:4" ht="31.2" x14ac:dyDescent="0.25">
      <c r="A1" s="5" t="s">
        <v>0</v>
      </c>
      <c r="B1" s="6" t="s">
        <v>1</v>
      </c>
      <c r="C1" s="7" t="s">
        <v>2</v>
      </c>
      <c r="D1" s="8" t="s">
        <v>3</v>
      </c>
    </row>
    <row r="2" spans="1:4" x14ac:dyDescent="0.25">
      <c r="A2" s="32">
        <v>125</v>
      </c>
      <c r="B2" s="17" t="s">
        <v>245</v>
      </c>
      <c r="C2" s="19" t="s">
        <v>246</v>
      </c>
      <c r="D2" s="18">
        <v>6.9444444444444404E-4</v>
      </c>
    </row>
    <row r="3" spans="1:4" x14ac:dyDescent="0.25">
      <c r="A3" s="36"/>
      <c r="B3" s="10" t="s">
        <v>247</v>
      </c>
      <c r="C3" s="20" t="s">
        <v>248</v>
      </c>
      <c r="D3" s="18">
        <v>4.1666666666666699E-2</v>
      </c>
    </row>
    <row r="4" spans="1:4" x14ac:dyDescent="0.25">
      <c r="A4" s="36"/>
      <c r="B4" s="10" t="s">
        <v>249</v>
      </c>
      <c r="C4" s="20" t="s">
        <v>250</v>
      </c>
      <c r="D4" s="18">
        <v>8.3333333333333301E-2</v>
      </c>
    </row>
    <row r="5" spans="1:4" x14ac:dyDescent="0.25">
      <c r="A5" s="37"/>
      <c r="B5" s="10" t="s">
        <v>251</v>
      </c>
      <c r="C5" s="20" t="s">
        <v>252</v>
      </c>
      <c r="D5" s="18">
        <v>0.125</v>
      </c>
    </row>
    <row r="6" spans="1:4" x14ac:dyDescent="0.25">
      <c r="A6" s="32">
        <v>126</v>
      </c>
      <c r="B6" s="10" t="s">
        <v>253</v>
      </c>
      <c r="C6" s="11" t="s">
        <v>254</v>
      </c>
      <c r="D6" s="18">
        <v>0.97916666666666696</v>
      </c>
    </row>
    <row r="7" spans="1:4" x14ac:dyDescent="0.25">
      <c r="A7" s="33"/>
      <c r="B7" s="10" t="s">
        <v>255</v>
      </c>
      <c r="C7" s="11" t="s">
        <v>256</v>
      </c>
      <c r="D7" s="18">
        <v>6.9444444444444404E-4</v>
      </c>
    </row>
    <row r="8" spans="1:4" x14ac:dyDescent="0.25">
      <c r="A8" s="33"/>
      <c r="B8" s="10" t="s">
        <v>257</v>
      </c>
      <c r="C8" s="11" t="s">
        <v>258</v>
      </c>
      <c r="D8" s="18">
        <v>1.38888888888889E-2</v>
      </c>
    </row>
    <row r="9" spans="1:4" x14ac:dyDescent="0.25">
      <c r="A9" s="33"/>
      <c r="B9" s="10" t="s">
        <v>259</v>
      </c>
      <c r="C9" s="11" t="s">
        <v>260</v>
      </c>
      <c r="D9" s="18">
        <v>3.4722222222222203E-2</v>
      </c>
    </row>
    <row r="10" spans="1:4" x14ac:dyDescent="0.25">
      <c r="A10" s="33"/>
      <c r="B10" s="10" t="s">
        <v>261</v>
      </c>
      <c r="C10" s="11" t="s">
        <v>262</v>
      </c>
      <c r="D10" s="18">
        <v>5.5555555555555601E-2</v>
      </c>
    </row>
    <row r="11" spans="1:4" x14ac:dyDescent="0.25">
      <c r="A11" s="32">
        <v>127</v>
      </c>
      <c r="B11" s="10" t="s">
        <v>263</v>
      </c>
      <c r="C11" s="11" t="s">
        <v>264</v>
      </c>
      <c r="D11" s="18">
        <v>6.9444444444444404E-4</v>
      </c>
    </row>
    <row r="12" spans="1:4" x14ac:dyDescent="0.25">
      <c r="A12" s="33"/>
      <c r="B12" s="10" t="s">
        <v>265</v>
      </c>
      <c r="C12" s="11" t="s">
        <v>266</v>
      </c>
      <c r="D12" s="18">
        <v>2.0833333333333301E-2</v>
      </c>
    </row>
    <row r="13" spans="1:4" x14ac:dyDescent="0.25">
      <c r="A13" s="33"/>
      <c r="B13" s="10" t="s">
        <v>267</v>
      </c>
      <c r="C13" s="11" t="s">
        <v>268</v>
      </c>
      <c r="D13" s="18">
        <v>4.8611111111111098E-2</v>
      </c>
    </row>
    <row r="14" spans="1:4" x14ac:dyDescent="0.25">
      <c r="A14" s="33"/>
      <c r="B14" s="10" t="s">
        <v>269</v>
      </c>
      <c r="C14" s="11" t="s">
        <v>270</v>
      </c>
      <c r="D14" s="18">
        <v>9.0277777777777804E-2</v>
      </c>
    </row>
    <row r="15" spans="1:4" x14ac:dyDescent="0.25">
      <c r="A15" s="33"/>
      <c r="B15" s="10" t="s">
        <v>271</v>
      </c>
      <c r="C15" s="11" t="s">
        <v>272</v>
      </c>
      <c r="D15" s="18">
        <v>0.131944444444444</v>
      </c>
    </row>
    <row r="16" spans="1:4" x14ac:dyDescent="0.25">
      <c r="A16" s="33"/>
      <c r="B16" s="10" t="s">
        <v>273</v>
      </c>
      <c r="C16" s="11" t="s">
        <v>274</v>
      </c>
      <c r="D16" s="18">
        <v>0.15277777777777801</v>
      </c>
    </row>
    <row r="17" spans="1:4" x14ac:dyDescent="0.25">
      <c r="A17" s="34"/>
      <c r="B17" s="10" t="s">
        <v>275</v>
      </c>
      <c r="C17" s="11" t="s">
        <v>276</v>
      </c>
      <c r="D17" s="18">
        <v>0.1875</v>
      </c>
    </row>
    <row r="18" spans="1:4" x14ac:dyDescent="0.25">
      <c r="A18" s="41">
        <v>128</v>
      </c>
      <c r="B18" s="13" t="s">
        <v>277</v>
      </c>
      <c r="C18" s="11" t="s">
        <v>278</v>
      </c>
      <c r="D18" s="12">
        <v>6.9444444444444404E-4</v>
      </c>
    </row>
    <row r="19" spans="1:4" x14ac:dyDescent="0.25">
      <c r="A19" s="42"/>
      <c r="B19" s="13" t="s">
        <v>279</v>
      </c>
      <c r="C19" s="11" t="s">
        <v>280</v>
      </c>
      <c r="D19" s="12">
        <v>2.0833333333333301E-2</v>
      </c>
    </row>
    <row r="20" spans="1:4" x14ac:dyDescent="0.25">
      <c r="A20" s="42"/>
      <c r="B20" s="13" t="s">
        <v>281</v>
      </c>
      <c r="C20" s="11" t="s">
        <v>282</v>
      </c>
      <c r="D20" s="12">
        <v>4.1666666666666699E-2</v>
      </c>
    </row>
    <row r="21" spans="1:4" x14ac:dyDescent="0.25">
      <c r="A21" s="42"/>
      <c r="B21" s="13" t="s">
        <v>283</v>
      </c>
      <c r="C21" s="11" t="s">
        <v>284</v>
      </c>
      <c r="D21" s="12">
        <v>6.9444444444444406E-2</v>
      </c>
    </row>
    <row r="22" spans="1:4" x14ac:dyDescent="0.25">
      <c r="A22" s="42"/>
      <c r="B22" s="13" t="s">
        <v>285</v>
      </c>
      <c r="C22" s="11" t="s">
        <v>286</v>
      </c>
      <c r="D22" s="18">
        <v>0.104166666666667</v>
      </c>
    </row>
    <row r="23" spans="1:4" x14ac:dyDescent="0.25">
      <c r="A23" s="42"/>
      <c r="B23" s="13" t="s">
        <v>287</v>
      </c>
      <c r="C23" s="11" t="s">
        <v>288</v>
      </c>
      <c r="D23" s="18">
        <v>0.14583333333333301</v>
      </c>
    </row>
    <row r="24" spans="1:4" x14ac:dyDescent="0.25">
      <c r="A24" s="43"/>
      <c r="B24" s="13" t="s">
        <v>289</v>
      </c>
      <c r="C24" s="11" t="s">
        <v>290</v>
      </c>
      <c r="D24" s="18">
        <v>0.16666666666666699</v>
      </c>
    </row>
    <row r="25" spans="1:4" x14ac:dyDescent="0.25">
      <c r="A25" s="44">
        <v>129</v>
      </c>
      <c r="B25" s="10" t="s">
        <v>291</v>
      </c>
      <c r="C25" s="11" t="s">
        <v>292</v>
      </c>
      <c r="D25" s="18">
        <v>0.1875</v>
      </c>
    </row>
    <row r="26" spans="1:4" x14ac:dyDescent="0.25">
      <c r="A26" s="45"/>
      <c r="B26" s="10" t="s">
        <v>293</v>
      </c>
      <c r="C26" s="11" t="s">
        <v>294</v>
      </c>
      <c r="D26" s="18">
        <v>0.22222222222222199</v>
      </c>
    </row>
    <row r="27" spans="1:4" x14ac:dyDescent="0.25">
      <c r="A27" s="45"/>
      <c r="B27" s="10" t="s">
        <v>295</v>
      </c>
      <c r="C27" s="11" t="s">
        <v>296</v>
      </c>
      <c r="D27" s="18">
        <v>0.243055555555556</v>
      </c>
    </row>
    <row r="28" spans="1:4" x14ac:dyDescent="0.25">
      <c r="A28" s="46"/>
      <c r="B28" s="10" t="s">
        <v>297</v>
      </c>
      <c r="C28" s="11" t="s">
        <v>298</v>
      </c>
      <c r="D28" s="18">
        <v>0.25</v>
      </c>
    </row>
    <row r="29" spans="1:4" x14ac:dyDescent="0.25">
      <c r="A29" s="32">
        <v>130</v>
      </c>
      <c r="B29" s="10" t="s">
        <v>299</v>
      </c>
      <c r="C29" s="11" t="s">
        <v>300</v>
      </c>
      <c r="D29" s="12">
        <v>0.1875</v>
      </c>
    </row>
    <row r="30" spans="1:4" x14ac:dyDescent="0.25">
      <c r="A30" s="33"/>
      <c r="B30" s="10" t="s">
        <v>301</v>
      </c>
      <c r="C30" s="11" t="s">
        <v>302</v>
      </c>
      <c r="D30" s="12">
        <v>0.20833333333333301</v>
      </c>
    </row>
    <row r="31" spans="1:4" x14ac:dyDescent="0.25">
      <c r="A31" s="33"/>
      <c r="B31" s="10" t="s">
        <v>303</v>
      </c>
      <c r="C31" s="11" t="s">
        <v>304</v>
      </c>
      <c r="D31" s="12">
        <v>0.22916666666666699</v>
      </c>
    </row>
    <row r="32" spans="1:4" x14ac:dyDescent="0.25">
      <c r="A32" s="34"/>
      <c r="B32" s="10" t="s">
        <v>305</v>
      </c>
      <c r="C32" s="11" t="s">
        <v>306</v>
      </c>
      <c r="D32" s="12">
        <v>0.23958333333333301</v>
      </c>
    </row>
    <row r="33" spans="1:4" x14ac:dyDescent="0.25">
      <c r="A33" s="32">
        <v>132</v>
      </c>
      <c r="B33" s="10" t="s">
        <v>307</v>
      </c>
      <c r="C33" s="11" t="s">
        <v>308</v>
      </c>
      <c r="D33" s="12">
        <v>0.20833333333333301</v>
      </c>
    </row>
    <row r="34" spans="1:4" x14ac:dyDescent="0.25">
      <c r="A34" s="33"/>
      <c r="B34" s="10" t="s">
        <v>309</v>
      </c>
      <c r="C34" s="11" t="s">
        <v>310</v>
      </c>
      <c r="D34" s="12">
        <v>0.22916666666666699</v>
      </c>
    </row>
    <row r="35" spans="1:4" x14ac:dyDescent="0.25">
      <c r="A35" s="34"/>
      <c r="B35" s="17" t="s">
        <v>311</v>
      </c>
      <c r="C35" s="19" t="s">
        <v>312</v>
      </c>
      <c r="D35" s="12">
        <v>0.23958333333333301</v>
      </c>
    </row>
    <row r="36" spans="1:4" x14ac:dyDescent="0.25">
      <c r="A36" s="32">
        <v>133</v>
      </c>
      <c r="B36" s="10" t="s">
        <v>313</v>
      </c>
      <c r="C36" s="11" t="s">
        <v>314</v>
      </c>
      <c r="D36" s="12">
        <v>0.20138888888888901</v>
      </c>
    </row>
    <row r="37" spans="1:4" x14ac:dyDescent="0.25">
      <c r="A37" s="33"/>
      <c r="B37" s="24" t="s">
        <v>315</v>
      </c>
      <c r="C37" s="25" t="s">
        <v>316</v>
      </c>
      <c r="D37" s="12">
        <v>0.22916666666666699</v>
      </c>
    </row>
    <row r="38" spans="1:4" x14ac:dyDescent="0.25">
      <c r="A38" s="34"/>
      <c r="B38" s="10" t="s">
        <v>317</v>
      </c>
      <c r="C38" s="11" t="s">
        <v>318</v>
      </c>
      <c r="D38" s="12">
        <v>0.25</v>
      </c>
    </row>
    <row r="39" spans="1:4" x14ac:dyDescent="0.25">
      <c r="A39" s="47">
        <v>150</v>
      </c>
      <c r="B39" s="10" t="s">
        <v>319</v>
      </c>
      <c r="C39" s="11" t="s">
        <v>320</v>
      </c>
      <c r="D39" s="18">
        <v>0</v>
      </c>
    </row>
    <row r="40" spans="1:4" x14ac:dyDescent="0.25">
      <c r="A40" s="48"/>
      <c r="B40" s="10" t="s">
        <v>321</v>
      </c>
      <c r="C40" s="11" t="s">
        <v>322</v>
      </c>
      <c r="D40" s="18">
        <v>2.0833333333333301E-2</v>
      </c>
    </row>
    <row r="41" spans="1:4" x14ac:dyDescent="0.25">
      <c r="A41" s="48"/>
      <c r="B41" s="10" t="s">
        <v>323</v>
      </c>
      <c r="C41" s="11" t="s">
        <v>324</v>
      </c>
      <c r="D41" s="18">
        <v>4.1666666666666699E-2</v>
      </c>
    </row>
    <row r="42" spans="1:4" x14ac:dyDescent="0.25">
      <c r="A42" s="48"/>
      <c r="B42" s="10" t="s">
        <v>325</v>
      </c>
      <c r="C42" s="11" t="s">
        <v>326</v>
      </c>
      <c r="D42" s="18">
        <v>6.25E-2</v>
      </c>
    </row>
    <row r="43" spans="1:4" x14ac:dyDescent="0.25">
      <c r="A43" s="48"/>
      <c r="B43" s="10" t="s">
        <v>327</v>
      </c>
      <c r="C43" s="11" t="s">
        <v>328</v>
      </c>
      <c r="D43" s="18">
        <v>7.6388888888888895E-2</v>
      </c>
    </row>
    <row r="44" spans="1:4" x14ac:dyDescent="0.25">
      <c r="A44" s="48"/>
      <c r="B44" s="10" t="s">
        <v>329</v>
      </c>
      <c r="C44" s="11" t="s">
        <v>330</v>
      </c>
      <c r="D44" s="18">
        <v>0.104166666666667</v>
      </c>
    </row>
    <row r="45" spans="1:4" x14ac:dyDescent="0.25">
      <c r="A45" s="49"/>
      <c r="B45" s="10" t="s">
        <v>331</v>
      </c>
      <c r="C45" s="22" t="s">
        <v>332</v>
      </c>
      <c r="D45" s="18">
        <v>0.14583333333333301</v>
      </c>
    </row>
    <row r="46" spans="1:4" x14ac:dyDescent="0.25">
      <c r="A46" s="47">
        <v>151</v>
      </c>
      <c r="B46" s="10" t="s">
        <v>333</v>
      </c>
      <c r="C46" s="11" t="s">
        <v>334</v>
      </c>
      <c r="D46" s="18">
        <v>0.95138888888888895</v>
      </c>
    </row>
    <row r="47" spans="1:4" x14ac:dyDescent="0.25">
      <c r="A47" s="48"/>
      <c r="B47" s="10" t="s">
        <v>335</v>
      </c>
      <c r="C47" s="11" t="s">
        <v>336</v>
      </c>
      <c r="D47" s="18">
        <v>0.98611111111111105</v>
      </c>
    </row>
    <row r="48" spans="1:4" x14ac:dyDescent="0.25">
      <c r="A48" s="48"/>
      <c r="B48" s="10" t="s">
        <v>337</v>
      </c>
      <c r="C48" s="11" t="s">
        <v>338</v>
      </c>
      <c r="D48" s="18">
        <v>6.9444444444444404E-4</v>
      </c>
    </row>
    <row r="49" spans="1:4" x14ac:dyDescent="0.25">
      <c r="A49" s="48"/>
      <c r="B49" s="10" t="s">
        <v>339</v>
      </c>
      <c r="C49" s="11" t="s">
        <v>340</v>
      </c>
      <c r="D49" s="18">
        <v>4.1666666666666699E-2</v>
      </c>
    </row>
    <row r="50" spans="1:4" x14ac:dyDescent="0.25">
      <c r="A50" s="48"/>
      <c r="B50" s="10" t="s">
        <v>341</v>
      </c>
      <c r="C50" s="11" t="s">
        <v>342</v>
      </c>
      <c r="D50" s="18">
        <v>5.2083333333333301E-2</v>
      </c>
    </row>
    <row r="51" spans="1:4" x14ac:dyDescent="0.25">
      <c r="A51" s="48"/>
      <c r="B51" s="10" t="s">
        <v>343</v>
      </c>
      <c r="C51" s="11" t="s">
        <v>344</v>
      </c>
      <c r="D51" s="18">
        <v>6.25E-2</v>
      </c>
    </row>
    <row r="52" spans="1:4" x14ac:dyDescent="0.25">
      <c r="A52" s="48"/>
      <c r="B52" s="10" t="s">
        <v>345</v>
      </c>
      <c r="C52" s="11" t="s">
        <v>346</v>
      </c>
      <c r="D52" s="18">
        <v>7.2916666666666699E-2</v>
      </c>
    </row>
    <row r="53" spans="1:4" x14ac:dyDescent="0.25">
      <c r="A53" s="49"/>
      <c r="B53" s="10" t="s">
        <v>347</v>
      </c>
      <c r="C53" s="11" t="s">
        <v>348</v>
      </c>
      <c r="D53" s="18">
        <v>8.3333333333333301E-2</v>
      </c>
    </row>
    <row r="54" spans="1:4" x14ac:dyDescent="0.25">
      <c r="A54" s="32">
        <v>156</v>
      </c>
      <c r="B54" s="10" t="s">
        <v>349</v>
      </c>
      <c r="C54" s="11" t="s">
        <v>350</v>
      </c>
      <c r="D54" s="12">
        <v>0.92361111111111105</v>
      </c>
    </row>
    <row r="55" spans="1:4" x14ac:dyDescent="0.25">
      <c r="A55" s="33"/>
      <c r="B55" s="10" t="s">
        <v>351</v>
      </c>
      <c r="C55" s="11" t="s">
        <v>352</v>
      </c>
      <c r="D55" s="18">
        <v>0.95833333333333304</v>
      </c>
    </row>
    <row r="56" spans="1:4" x14ac:dyDescent="0.25">
      <c r="A56" s="33"/>
      <c r="B56" s="10" t="s">
        <v>353</v>
      </c>
      <c r="C56" s="11" t="s">
        <v>354</v>
      </c>
      <c r="D56" s="18">
        <v>0.97916666666666696</v>
      </c>
    </row>
    <row r="57" spans="1:4" x14ac:dyDescent="0.25">
      <c r="A57" s="33"/>
      <c r="B57" s="10" t="s">
        <v>355</v>
      </c>
      <c r="C57" s="11" t="s">
        <v>356</v>
      </c>
      <c r="D57" s="18">
        <v>0.104166666666667</v>
      </c>
    </row>
    <row r="58" spans="1:4" x14ac:dyDescent="0.25">
      <c r="A58" s="33"/>
      <c r="B58" s="10" t="s">
        <v>357</v>
      </c>
      <c r="C58" s="11" t="s">
        <v>358</v>
      </c>
      <c r="D58" s="18">
        <v>0.131944444444444</v>
      </c>
    </row>
    <row r="59" spans="1:4" x14ac:dyDescent="0.25">
      <c r="A59" s="33"/>
      <c r="B59" s="10" t="s">
        <v>359</v>
      </c>
      <c r="C59" s="11" t="s">
        <v>360</v>
      </c>
      <c r="D59" s="18">
        <v>0.14583333333333301</v>
      </c>
    </row>
    <row r="60" spans="1:4" x14ac:dyDescent="0.25">
      <c r="A60" s="33"/>
      <c r="B60" s="10" t="s">
        <v>361</v>
      </c>
      <c r="C60" s="11" t="s">
        <v>362</v>
      </c>
      <c r="D60" s="18">
        <v>0.15972222222222199</v>
      </c>
    </row>
    <row r="61" spans="1:4" x14ac:dyDescent="0.25">
      <c r="A61" s="34"/>
      <c r="B61" s="10" t="s">
        <v>363</v>
      </c>
      <c r="C61" s="11" t="s">
        <v>364</v>
      </c>
      <c r="D61" s="18">
        <v>0.17361111111111099</v>
      </c>
    </row>
    <row r="62" spans="1:4" x14ac:dyDescent="0.25">
      <c r="A62" s="47">
        <v>157</v>
      </c>
      <c r="B62" s="10" t="s">
        <v>365</v>
      </c>
      <c r="C62" s="11" t="s">
        <v>366</v>
      </c>
      <c r="D62" s="18">
        <v>0.97916666666666696</v>
      </c>
    </row>
    <row r="63" spans="1:4" x14ac:dyDescent="0.25">
      <c r="A63" s="48"/>
      <c r="B63" s="10" t="s">
        <v>367</v>
      </c>
      <c r="C63" s="11" t="s">
        <v>368</v>
      </c>
      <c r="D63" s="18">
        <v>6.9444444444444404E-4</v>
      </c>
    </row>
    <row r="64" spans="1:4" x14ac:dyDescent="0.25">
      <c r="A64" s="48"/>
      <c r="B64" s="10" t="s">
        <v>369</v>
      </c>
      <c r="C64" s="11" t="s">
        <v>370</v>
      </c>
      <c r="D64" s="18">
        <v>6.9444444444444404E-4</v>
      </c>
    </row>
    <row r="65" spans="1:4" x14ac:dyDescent="0.25">
      <c r="A65" s="48"/>
      <c r="B65" s="10" t="s">
        <v>371</v>
      </c>
      <c r="C65" s="11" t="s">
        <v>372</v>
      </c>
      <c r="D65" s="18">
        <v>6.25E-2</v>
      </c>
    </row>
    <row r="66" spans="1:4" x14ac:dyDescent="0.25">
      <c r="A66" s="48"/>
      <c r="B66" s="10" t="s">
        <v>373</v>
      </c>
      <c r="C66" s="11" t="s">
        <v>374</v>
      </c>
      <c r="D66" s="18">
        <v>8.3333333333333301E-2</v>
      </c>
    </row>
    <row r="67" spans="1:4" x14ac:dyDescent="0.25">
      <c r="A67" s="48"/>
      <c r="B67" s="10" t="s">
        <v>375</v>
      </c>
      <c r="C67" s="11" t="s">
        <v>376</v>
      </c>
      <c r="D67" s="18">
        <v>0.104166666666667</v>
      </c>
    </row>
    <row r="68" spans="1:4" x14ac:dyDescent="0.25">
      <c r="A68" s="48"/>
      <c r="B68" s="10" t="s">
        <v>377</v>
      </c>
      <c r="C68" s="11" t="s">
        <v>378</v>
      </c>
      <c r="D68" s="18">
        <v>0.125</v>
      </c>
    </row>
    <row r="69" spans="1:4" x14ac:dyDescent="0.25">
      <c r="A69" s="48"/>
      <c r="B69" s="10" t="s">
        <v>379</v>
      </c>
      <c r="C69" s="11" t="s">
        <v>380</v>
      </c>
      <c r="D69" s="18">
        <v>0.14583333333333301</v>
      </c>
    </row>
    <row r="70" spans="1:4" x14ac:dyDescent="0.25">
      <c r="A70" s="49"/>
      <c r="B70" s="10" t="s">
        <v>381</v>
      </c>
      <c r="C70" s="11" t="s">
        <v>382</v>
      </c>
      <c r="D70" s="18">
        <v>0.16666666666666699</v>
      </c>
    </row>
    <row r="71" spans="1:4" x14ac:dyDescent="0.25">
      <c r="A71" s="35" t="s">
        <v>383</v>
      </c>
      <c r="B71" s="10" t="s">
        <v>384</v>
      </c>
      <c r="C71" s="20" t="s">
        <v>385</v>
      </c>
      <c r="D71" s="18">
        <v>0.95833333333333304</v>
      </c>
    </row>
    <row r="72" spans="1:4" x14ac:dyDescent="0.25">
      <c r="A72" s="36"/>
      <c r="B72" s="10" t="s">
        <v>386</v>
      </c>
      <c r="C72" s="20" t="s">
        <v>387</v>
      </c>
      <c r="D72" s="26">
        <v>0.95833333333333304</v>
      </c>
    </row>
    <row r="73" spans="1:4" x14ac:dyDescent="0.25">
      <c r="A73" s="37"/>
      <c r="B73" s="10" t="s">
        <v>388</v>
      </c>
      <c r="C73" s="20" t="s">
        <v>389</v>
      </c>
      <c r="D73" s="26">
        <v>0.95833333333333304</v>
      </c>
    </row>
    <row r="74" spans="1:4" x14ac:dyDescent="0.25">
      <c r="A74" s="13" t="s">
        <v>390</v>
      </c>
      <c r="B74" s="10" t="s">
        <v>391</v>
      </c>
      <c r="C74" s="20" t="s">
        <v>392</v>
      </c>
      <c r="D74" s="26">
        <v>0.95833333333333304</v>
      </c>
    </row>
    <row r="75" spans="1:4" x14ac:dyDescent="0.25">
      <c r="A75" s="35" t="s">
        <v>393</v>
      </c>
      <c r="B75" s="10" t="s">
        <v>394</v>
      </c>
      <c r="C75" s="20" t="s">
        <v>395</v>
      </c>
      <c r="D75" s="26">
        <v>0.95833333333333304</v>
      </c>
    </row>
    <row r="76" spans="1:4" x14ac:dyDescent="0.25">
      <c r="A76" s="36"/>
      <c r="B76" s="10" t="s">
        <v>396</v>
      </c>
      <c r="C76" s="20" t="s">
        <v>397</v>
      </c>
      <c r="D76" s="26">
        <v>0.95833333333333304</v>
      </c>
    </row>
    <row r="77" spans="1:4" x14ac:dyDescent="0.25">
      <c r="A77" s="37"/>
      <c r="B77" s="10" t="s">
        <v>398</v>
      </c>
      <c r="C77" s="20" t="s">
        <v>399</v>
      </c>
      <c r="D77" s="26">
        <v>0.95833333333333304</v>
      </c>
    </row>
  </sheetData>
  <autoFilter ref="A1:D77" xr:uid="{3659E836-3737-4982-9F4D-A6D4F0D32EA3}"/>
  <mergeCells count="14">
    <mergeCell ref="A71:A73"/>
    <mergeCell ref="A75:A77"/>
    <mergeCell ref="A33:A35"/>
    <mergeCell ref="A36:A38"/>
    <mergeCell ref="A39:A45"/>
    <mergeCell ref="A46:A53"/>
    <mergeCell ref="A54:A61"/>
    <mergeCell ref="A62:A70"/>
    <mergeCell ref="A2:A5"/>
    <mergeCell ref="A6:A10"/>
    <mergeCell ref="A11:A17"/>
    <mergeCell ref="A18:A24"/>
    <mergeCell ref="A25:A28"/>
    <mergeCell ref="A29:A32"/>
  </mergeCells>
  <phoneticPr fontId="15" type="noConversion"/>
  <conditionalFormatting sqref="B1">
    <cfRule type="duplicateValues" dxfId="79" priority="76"/>
  </conditionalFormatting>
  <conditionalFormatting sqref="B1 B3:B34">
    <cfRule type="timePeriod" dxfId="78" priority="75" timePeriod="yesterday">
      <formula>FLOOR(B1,1)=TODAY()-1</formula>
    </cfRule>
  </conditionalFormatting>
  <conditionalFormatting sqref="B2">
    <cfRule type="duplicateValues" dxfId="77" priority="27"/>
  </conditionalFormatting>
  <conditionalFormatting sqref="B2:B77">
    <cfRule type="duplicateValues" dxfId="76" priority="74"/>
  </conditionalFormatting>
  <conditionalFormatting sqref="B3 B5">
    <cfRule type="duplicateValues" dxfId="75" priority="46"/>
  </conditionalFormatting>
  <conditionalFormatting sqref="B3:B5">
    <cfRule type="duplicateValues" dxfId="74" priority="67"/>
  </conditionalFormatting>
  <conditionalFormatting sqref="B3:B33 B35:B77">
    <cfRule type="duplicateValues" dxfId="73" priority="73"/>
  </conditionalFormatting>
  <conditionalFormatting sqref="B4">
    <cfRule type="duplicateValues" dxfId="72" priority="68"/>
  </conditionalFormatting>
  <conditionalFormatting sqref="B6:B10">
    <cfRule type="duplicateValues" dxfId="71" priority="66"/>
  </conditionalFormatting>
  <conditionalFormatting sqref="B11">
    <cfRule type="duplicateValues" dxfId="70" priority="45"/>
  </conditionalFormatting>
  <conditionalFormatting sqref="B11:B12 B14:B17">
    <cfRule type="duplicateValues" dxfId="69" priority="63"/>
  </conditionalFormatting>
  <conditionalFormatting sqref="B11:B12">
    <cfRule type="duplicateValues" dxfId="68" priority="44"/>
  </conditionalFormatting>
  <conditionalFormatting sqref="B12 B14:B17">
    <cfRule type="duplicateValues" dxfId="67" priority="64"/>
  </conditionalFormatting>
  <conditionalFormatting sqref="B13">
    <cfRule type="duplicateValues" dxfId="66" priority="43"/>
  </conditionalFormatting>
  <conditionalFormatting sqref="B18:B20 B22:B24">
    <cfRule type="duplicateValues" dxfId="65" priority="60"/>
  </conditionalFormatting>
  <conditionalFormatting sqref="B18:B24">
    <cfRule type="duplicateValues" dxfId="64" priority="61"/>
  </conditionalFormatting>
  <conditionalFormatting sqref="B21">
    <cfRule type="duplicateValues" dxfId="63" priority="42"/>
  </conditionalFormatting>
  <conditionalFormatting sqref="B25:B26">
    <cfRule type="duplicateValues" dxfId="62" priority="41"/>
  </conditionalFormatting>
  <conditionalFormatting sqref="B25:B28">
    <cfRule type="duplicateValues" dxfId="61" priority="57"/>
  </conditionalFormatting>
  <conditionalFormatting sqref="B27:B28">
    <cfRule type="duplicateValues" dxfId="60" priority="58"/>
  </conditionalFormatting>
  <conditionalFormatting sqref="B29 B32">
    <cfRule type="duplicateValues" dxfId="59" priority="53"/>
  </conditionalFormatting>
  <conditionalFormatting sqref="B29">
    <cfRule type="duplicateValues" dxfId="58" priority="40"/>
  </conditionalFormatting>
  <conditionalFormatting sqref="B29:B32">
    <cfRule type="duplicateValues" dxfId="57" priority="54"/>
  </conditionalFormatting>
  <conditionalFormatting sqref="B30">
    <cfRule type="duplicateValues" dxfId="56" priority="39"/>
  </conditionalFormatting>
  <conditionalFormatting sqref="B30:B31">
    <cfRule type="duplicateValues" dxfId="55" priority="38"/>
  </conditionalFormatting>
  <conditionalFormatting sqref="B31">
    <cfRule type="duplicateValues" dxfId="54" priority="37"/>
  </conditionalFormatting>
  <conditionalFormatting sqref="B32">
    <cfRule type="duplicateValues" dxfId="53" priority="55"/>
  </conditionalFormatting>
  <conditionalFormatting sqref="B33">
    <cfRule type="duplicateValues" dxfId="52" priority="50"/>
    <cfRule type="duplicateValues" dxfId="51" priority="51"/>
    <cfRule type="duplicateValues" dxfId="50" priority="52"/>
  </conditionalFormatting>
  <conditionalFormatting sqref="B34">
    <cfRule type="duplicateValues" dxfId="49" priority="70"/>
  </conditionalFormatting>
  <conditionalFormatting sqref="B35">
    <cfRule type="duplicateValues" dxfId="48" priority="72"/>
  </conditionalFormatting>
  <conditionalFormatting sqref="B36 B38">
    <cfRule type="duplicateValues" dxfId="47" priority="47"/>
  </conditionalFormatting>
  <conditionalFormatting sqref="B36">
    <cfRule type="duplicateValues" dxfId="46" priority="36"/>
  </conditionalFormatting>
  <conditionalFormatting sqref="B36:B38">
    <cfRule type="duplicateValues" dxfId="45" priority="48"/>
  </conditionalFormatting>
  <conditionalFormatting sqref="B37">
    <cfRule type="duplicateValues" dxfId="44" priority="34"/>
    <cfRule type="timePeriod" dxfId="43" priority="35" timePeriod="yesterday">
      <formula>FLOOR(B37,1)=TODAY()-1</formula>
    </cfRule>
  </conditionalFormatting>
  <conditionalFormatting sqref="B38">
    <cfRule type="duplicateValues" dxfId="42" priority="49"/>
  </conditionalFormatting>
  <conditionalFormatting sqref="C3:C5">
    <cfRule type="duplicateValues" dxfId="41" priority="69"/>
  </conditionalFormatting>
  <conditionalFormatting sqref="C11">
    <cfRule type="duplicateValues" dxfId="40" priority="33"/>
  </conditionalFormatting>
  <conditionalFormatting sqref="C12 C14:C17">
    <cfRule type="duplicateValues" dxfId="39" priority="65"/>
  </conditionalFormatting>
  <conditionalFormatting sqref="C13">
    <cfRule type="duplicateValues" dxfId="38" priority="32"/>
  </conditionalFormatting>
  <conditionalFormatting sqref="C18:C20 C22:C24">
    <cfRule type="duplicateValues" dxfId="37" priority="62"/>
  </conditionalFormatting>
  <conditionalFormatting sqref="C21">
    <cfRule type="duplicateValues" dxfId="36" priority="31"/>
  </conditionalFormatting>
  <conditionalFormatting sqref="C25:C26">
    <cfRule type="duplicateValues" dxfId="35" priority="30"/>
  </conditionalFormatting>
  <conditionalFormatting sqref="C27:C28">
    <cfRule type="duplicateValues" dxfId="34" priority="59"/>
  </conditionalFormatting>
  <conditionalFormatting sqref="C29 C32">
    <cfRule type="duplicateValues" dxfId="33" priority="56"/>
  </conditionalFormatting>
  <conditionalFormatting sqref="C30">
    <cfRule type="duplicateValues" dxfId="32" priority="29"/>
  </conditionalFormatting>
  <conditionalFormatting sqref="C31">
    <cfRule type="duplicateValues" dxfId="31" priority="28"/>
  </conditionalFormatting>
  <conditionalFormatting sqref="C34">
    <cfRule type="duplicateValues" dxfId="30" priority="71"/>
  </conditionalFormatting>
  <conditionalFormatting sqref="B54:B77">
    <cfRule type="duplicateValues" dxfId="29" priority="16"/>
  </conditionalFormatting>
  <conditionalFormatting sqref="B39:B77">
    <cfRule type="timePeriod" dxfId="28" priority="1" timePeriod="yesterday">
      <formula>FLOOR(B39,1)=TODAY()-1</formula>
    </cfRule>
  </conditionalFormatting>
  <conditionalFormatting sqref="B39 B42:B43">
    <cfRule type="duplicateValues" dxfId="27" priority="4"/>
  </conditionalFormatting>
  <conditionalFormatting sqref="B39 B43">
    <cfRule type="duplicateValues" dxfId="26" priority="3"/>
  </conditionalFormatting>
  <conditionalFormatting sqref="B39:B44">
    <cfRule type="duplicateValues" dxfId="25" priority="22"/>
  </conditionalFormatting>
  <conditionalFormatting sqref="B39:B45">
    <cfRule type="duplicateValues" dxfId="24" priority="20"/>
  </conditionalFormatting>
  <conditionalFormatting sqref="B40">
    <cfRule type="duplicateValues" dxfId="23" priority="7"/>
  </conditionalFormatting>
  <conditionalFormatting sqref="B40:B41 B44">
    <cfRule type="duplicateValues" dxfId="22" priority="21"/>
  </conditionalFormatting>
  <conditionalFormatting sqref="B41">
    <cfRule type="duplicateValues" dxfId="21" priority="6"/>
  </conditionalFormatting>
  <conditionalFormatting sqref="B42">
    <cfRule type="duplicateValues" dxfId="20" priority="5"/>
  </conditionalFormatting>
  <conditionalFormatting sqref="B44">
    <cfRule type="duplicateValues" dxfId="19" priority="23"/>
  </conditionalFormatting>
  <conditionalFormatting sqref="B45">
    <cfRule type="duplicateValues" dxfId="18" priority="8"/>
  </conditionalFormatting>
  <conditionalFormatting sqref="B46:B51">
    <cfRule type="duplicateValues" dxfId="17" priority="2"/>
  </conditionalFormatting>
  <conditionalFormatting sqref="B46:B53">
    <cfRule type="duplicateValues" dxfId="16" priority="18"/>
  </conditionalFormatting>
  <conditionalFormatting sqref="B52:B53">
    <cfRule type="duplicateValues" dxfId="15" priority="19"/>
  </conditionalFormatting>
  <conditionalFormatting sqref="B54:B61 B69">
    <cfRule type="duplicateValues" dxfId="14" priority="15"/>
  </conditionalFormatting>
  <conditionalFormatting sqref="B54:B77">
    <cfRule type="duplicateValues" dxfId="13" priority="17"/>
  </conditionalFormatting>
  <conditionalFormatting sqref="B62:B68 B70">
    <cfRule type="duplicateValues" dxfId="12" priority="13"/>
  </conditionalFormatting>
  <conditionalFormatting sqref="B62:B68 B70:B77">
    <cfRule type="duplicateValues" dxfId="11" priority="14"/>
  </conditionalFormatting>
  <conditionalFormatting sqref="B71:B74">
    <cfRule type="duplicateValues" dxfId="10" priority="10"/>
  </conditionalFormatting>
  <conditionalFormatting sqref="B71:B77">
    <cfRule type="duplicateValues" dxfId="9" priority="11"/>
  </conditionalFormatting>
  <conditionalFormatting sqref="B75:B77">
    <cfRule type="duplicateValues" dxfId="8" priority="9"/>
  </conditionalFormatting>
  <conditionalFormatting sqref="C71:C77">
    <cfRule type="duplicateValues" dxfId="7" priority="1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8989-46CF-4B41-B47C-C948636DC730}">
  <dimension ref="A1:D8"/>
  <sheetViews>
    <sheetView workbookViewId="0">
      <selection activeCell="C7" sqref="C7"/>
    </sheetView>
  </sheetViews>
  <sheetFormatPr defaultColWidth="16.33203125" defaultRowHeight="14.4" x14ac:dyDescent="0.25"/>
  <cols>
    <col min="3" max="3" width="32.21875" bestFit="1" customWidth="1"/>
  </cols>
  <sheetData>
    <row r="1" spans="1:4" ht="31.2" x14ac:dyDescent="0.25">
      <c r="A1" s="5" t="s">
        <v>0</v>
      </c>
      <c r="B1" s="6" t="s">
        <v>1</v>
      </c>
      <c r="C1" s="7" t="s">
        <v>2</v>
      </c>
      <c r="D1" s="8" t="s">
        <v>3</v>
      </c>
    </row>
    <row r="2" spans="1:4" x14ac:dyDescent="0.25">
      <c r="A2" s="32">
        <v>240</v>
      </c>
      <c r="B2" s="10" t="s">
        <v>217</v>
      </c>
      <c r="C2" s="11" t="s">
        <v>218</v>
      </c>
      <c r="D2" s="12">
        <v>0.75</v>
      </c>
    </row>
    <row r="3" spans="1:4" x14ac:dyDescent="0.25">
      <c r="A3" s="33"/>
      <c r="B3" s="10" t="s">
        <v>219</v>
      </c>
      <c r="C3" s="11" t="s">
        <v>220</v>
      </c>
      <c r="D3" s="12">
        <v>0.75</v>
      </c>
    </row>
    <row r="4" spans="1:4" x14ac:dyDescent="0.25">
      <c r="A4" s="33"/>
      <c r="B4" s="10" t="s">
        <v>221</v>
      </c>
      <c r="C4" s="11" t="s">
        <v>222</v>
      </c>
      <c r="D4" s="12">
        <v>0.75</v>
      </c>
    </row>
    <row r="5" spans="1:4" x14ac:dyDescent="0.25">
      <c r="A5" s="33"/>
      <c r="B5" s="10" t="s">
        <v>223</v>
      </c>
      <c r="C5" s="11" t="s">
        <v>224</v>
      </c>
      <c r="D5" s="12">
        <v>0.75</v>
      </c>
    </row>
    <row r="6" spans="1:4" x14ac:dyDescent="0.25">
      <c r="A6" s="33"/>
      <c r="B6" s="10" t="s">
        <v>225</v>
      </c>
      <c r="C6" s="11" t="s">
        <v>226</v>
      </c>
      <c r="D6" s="12">
        <v>0.75</v>
      </c>
    </row>
    <row r="7" spans="1:4" x14ac:dyDescent="0.25">
      <c r="A7" s="33"/>
      <c r="B7" s="10" t="s">
        <v>227</v>
      </c>
      <c r="C7" s="11" t="s">
        <v>228</v>
      </c>
      <c r="D7" s="12">
        <v>0.75</v>
      </c>
    </row>
    <row r="8" spans="1:4" x14ac:dyDescent="0.25">
      <c r="A8" s="34"/>
      <c r="B8" s="10" t="s">
        <v>229</v>
      </c>
      <c r="C8" s="11" t="s">
        <v>230</v>
      </c>
      <c r="D8" s="12">
        <v>0.75</v>
      </c>
    </row>
  </sheetData>
  <mergeCells count="1">
    <mergeCell ref="A2:A8"/>
  </mergeCells>
  <phoneticPr fontId="15" type="noConversion"/>
  <conditionalFormatting sqref="B1">
    <cfRule type="duplicateValues" dxfId="6" priority="7"/>
  </conditionalFormatting>
  <conditionalFormatting sqref="B1">
    <cfRule type="timePeriod" dxfId="5" priority="6" timePeriod="yesterday">
      <formula>FLOOR(B1,1)=TODAY()-1</formula>
    </cfRule>
  </conditionalFormatting>
  <conditionalFormatting sqref="B2:B8">
    <cfRule type="duplicateValues" dxfId="4" priority="2"/>
  </conditionalFormatting>
  <conditionalFormatting sqref="B2:B8">
    <cfRule type="timePeriod" dxfId="3" priority="1" timePeriod="yesterday">
      <formula>FLOOR(B2,1)=TODAY()-1</formula>
    </cfRule>
  </conditionalFormatting>
  <conditionalFormatting sqref="B2:B8">
    <cfRule type="duplicateValues" dxfId="2" priority="3"/>
  </conditionalFormatting>
  <conditionalFormatting sqref="B2:B8">
    <cfRule type="duplicateValues" dxfId="1" priority="4"/>
  </conditionalFormatting>
  <conditionalFormatting sqref="B2:B8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波次一（常温北京）</vt:lpstr>
      <vt:lpstr>波次二（低温北京）</vt:lpstr>
      <vt:lpstr>波次三</vt:lpstr>
      <vt:lpstr>波次四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空港捷瑞</dc:creator>
  <cp:lastModifiedBy>俊磊 张</cp:lastModifiedBy>
  <dcterms:created xsi:type="dcterms:W3CDTF">2023-05-12T11:15:00Z</dcterms:created>
  <dcterms:modified xsi:type="dcterms:W3CDTF">2026-04-07T11:27:54Z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5680A88F1ECA45C99A7F8A8C09EE346E_13</vt:lpwstr>
  </property>
  <property fmtid="{D5CDD505-2E9C-101B-9397-08002B2CF9AE}" pid="4" name="CalculationRule">
    <vt:i4>0</vt:i4>
  </property>
</Properties>
</file>